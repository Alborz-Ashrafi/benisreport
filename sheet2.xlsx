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orz\Desktop\benis\بودجه\fixed_1\"/>
    </mc:Choice>
  </mc:AlternateContent>
  <xr:revisionPtr revIDLastSave="0" documentId="13_ncr:1_{4C401B10-1689-41B7-A6DB-849400202373}" xr6:coauthVersionLast="47" xr6:coauthVersionMax="47" xr10:uidLastSave="{00000000-0000-0000-0000-000000000000}"/>
  <bookViews>
    <workbookView xWindow="-96" yWindow="-96" windowWidth="23232" windowHeight="12552" xr2:uid="{D09542DC-2503-4AE6-8948-58D50BAC5655}"/>
  </bookViews>
  <sheets>
    <sheet name="بودجه" sheetId="6" r:id="rId1"/>
    <sheet name="دیتا " sheetId="2" r:id="rId2"/>
    <sheet name="کتگوری " sheetId="3" r:id="rId3"/>
    <sheet name="کانالها" sheetId="7" r:id="rId4"/>
  </sheets>
  <definedNames>
    <definedName name="ExternalData_1" localSheetId="0" hidden="1">بودجه!$A$1:$Q$65</definedName>
    <definedName name="ExternalData_1" localSheetId="3" hidden="1">کانالها!$A$1:$F$23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0" i="3" l="1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H38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L29" i="3"/>
  <c r="E29" i="3"/>
  <c r="D29" i="3"/>
  <c r="E28" i="3"/>
  <c r="D28" i="3"/>
  <c r="E27" i="3"/>
  <c r="D27" i="3"/>
  <c r="J26" i="3"/>
  <c r="J37" i="3" s="1"/>
  <c r="K37" i="3" s="1"/>
  <c r="L37" i="3" s="1"/>
  <c r="E26" i="3"/>
  <c r="D26" i="3"/>
  <c r="L25" i="3"/>
  <c r="E25" i="3"/>
  <c r="D25" i="3"/>
  <c r="L24" i="3"/>
  <c r="E24" i="3"/>
  <c r="D24" i="3"/>
  <c r="L23" i="3"/>
  <c r="E23" i="3"/>
  <c r="D23" i="3"/>
  <c r="M25" i="3" s="1"/>
  <c r="E22" i="3"/>
  <c r="D22" i="3"/>
  <c r="E21" i="3"/>
  <c r="D21" i="3"/>
  <c r="E20" i="3"/>
  <c r="D20" i="3"/>
  <c r="E19" i="3"/>
  <c r="D19" i="3"/>
  <c r="N18" i="3"/>
  <c r="J33" i="3" s="1"/>
  <c r="K33" i="3" s="1"/>
  <c r="L33" i="3" s="1"/>
  <c r="E18" i="3"/>
  <c r="D18" i="3"/>
  <c r="I17" i="3"/>
  <c r="E17" i="3"/>
  <c r="D17" i="3"/>
  <c r="I16" i="3"/>
  <c r="E16" i="3"/>
  <c r="D16" i="3"/>
  <c r="E15" i="3"/>
  <c r="D15" i="3"/>
  <c r="E14" i="3"/>
  <c r="D14" i="3"/>
  <c r="E13" i="3"/>
  <c r="D13" i="3"/>
  <c r="N12" i="3"/>
  <c r="J32" i="3" s="1"/>
  <c r="E12" i="3"/>
  <c r="D12" i="3"/>
  <c r="E11" i="3"/>
  <c r="D11" i="3"/>
  <c r="E10" i="3"/>
  <c r="D10" i="3"/>
  <c r="E9" i="3"/>
  <c r="D9" i="3"/>
  <c r="E8" i="3"/>
  <c r="D8" i="3"/>
  <c r="J17" i="3" s="1"/>
  <c r="E7" i="3"/>
  <c r="D7" i="3"/>
  <c r="M24" i="3" s="1"/>
  <c r="J6" i="3"/>
  <c r="E6" i="3"/>
  <c r="D6" i="3"/>
  <c r="M23" i="3" s="1"/>
  <c r="J5" i="3"/>
  <c r="E5" i="3"/>
  <c r="D5" i="3"/>
  <c r="J16" i="3" s="1"/>
  <c r="J19" i="3" s="1"/>
  <c r="J36" i="3" s="1"/>
  <c r="K36" i="3" s="1"/>
  <c r="L36" i="3" s="1"/>
  <c r="J4" i="3"/>
  <c r="E4" i="3"/>
  <c r="D4" i="3"/>
  <c r="M29" i="3" s="1"/>
  <c r="J35" i="3" s="1"/>
  <c r="K35" i="3" s="1"/>
  <c r="L35" i="3" s="1"/>
  <c r="J3" i="3"/>
  <c r="E3" i="3"/>
  <c r="D3" i="3"/>
  <c r="J2" i="3"/>
  <c r="E2" i="3"/>
  <c r="D2" i="3"/>
  <c r="N25" i="3" l="1"/>
  <c r="J34" i="3" s="1"/>
  <c r="K34" i="3" s="1"/>
  <c r="L34" i="3" s="1"/>
  <c r="K32" i="3"/>
  <c r="L32" i="3" s="1"/>
  <c r="J38" i="3"/>
  <c r="K38" i="3" s="1"/>
  <c r="L3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F6FAC-DD68-4A05-8425-0779EB8FDA14}" keepAlive="1" name="Query - بودجه" description="Connection to the 'بودجه' query in the workbook." type="5" refreshedVersion="8" background="1" saveData="1">
    <dbPr connection="Provider=Microsoft.Mashup.OleDb.1;Data Source=$Workbook$;Location=بودجه;Extended Properties=&quot;&quot;" command="SELECT * FROM [بودجه]"/>
  </connection>
  <connection id="2" xr16:uid="{6D484845-3223-473E-B595-ABA22A8E272C}" keepAlive="1" name="Query - کانالها" description="Connection to the 'کانالها' query in the workbook." type="5" refreshedVersion="8" background="1" saveData="1">
    <dbPr connection="Provider=Microsoft.Mashup.OleDb.1;Data Source=$Workbook$;Location=کانالها;Extended Properties=&quot;&quot;" command="SELECT * FROM [کانالها]"/>
  </connection>
</connections>
</file>

<file path=xl/sharedStrings.xml><?xml version="1.0" encoding="utf-8"?>
<sst xmlns="http://schemas.openxmlformats.org/spreadsheetml/2006/main" count="707" uniqueCount="355">
  <si>
    <t>مرداد</t>
  </si>
  <si>
    <t>تیر</t>
  </si>
  <si>
    <t>خرداد</t>
  </si>
  <si>
    <t>شهریور</t>
  </si>
  <si>
    <t>مهر</t>
  </si>
  <si>
    <t>آبان</t>
  </si>
  <si>
    <t>آذر</t>
  </si>
  <si>
    <t>دی</t>
  </si>
  <si>
    <t>بهمن</t>
  </si>
  <si>
    <t>اسفند</t>
  </si>
  <si>
    <t>ATL</t>
  </si>
  <si>
    <t>BTL</t>
  </si>
  <si>
    <t>كد كالا</t>
  </si>
  <si>
    <t>نام كالا</t>
  </si>
  <si>
    <t xml:space="preserve">Total </t>
  </si>
  <si>
    <t xml:space="preserve"> براونی آلبالویی بنیس (80 گ 24 ع )</t>
  </si>
  <si>
    <t>براونی کاکائویی بنیس (80 گ 24 ع )</t>
  </si>
  <si>
    <t xml:space="preserve"> پوپ کیک بنیس(70 گ 24 ع )</t>
  </si>
  <si>
    <t xml:space="preserve"> BOMBA با مغزی وانیل بنیس (50 گ 24 ع )</t>
  </si>
  <si>
    <t xml:space="preserve"> BOMBA با روکش کاکائو بنیس(50 گ 24 ع )</t>
  </si>
  <si>
    <t>BOMBA مغزی کاکائویی بنیس(45 گ 24 ع )</t>
  </si>
  <si>
    <t xml:space="preserve"> BOMBA  روکش سفید بنیس(50 گ 24 ع )</t>
  </si>
  <si>
    <t>کیک لبخند پرتقالی بنیس(65 گ 32ع )</t>
  </si>
  <si>
    <t>کاپ کیک پرتقالی  بنیس(35گ 24 ع )</t>
  </si>
  <si>
    <t>کیک پنیری بنیس(85 گ 24 ع )</t>
  </si>
  <si>
    <t>کیک پونتوس  بنیس(170 گ 12 ع )</t>
  </si>
  <si>
    <t>صبحانه کشمشی شفاف بنیس(110گ 18 ع )</t>
  </si>
  <si>
    <t>دسری  شاه توت بنیس(70 گ 24 ع )</t>
  </si>
  <si>
    <t>دسری کارامل بنیس(70 گ 24 ع )</t>
  </si>
  <si>
    <t>دسری کاکائویی بنیس(70 گ 24 ع )</t>
  </si>
  <si>
    <t>کاپ کیک توتارلی پرتقالی بنیس (45 گ 24 ع )</t>
  </si>
  <si>
    <t>کاپ کیک توتارلی انگور بنیس (45 گ 24 ع )</t>
  </si>
  <si>
    <t>کاپ کیک کاکائویی بنیس(70 گ 24 ع )</t>
  </si>
  <si>
    <t xml:space="preserve">کاپ کيک لبخند پرتقالي (65 گ 24 ع ) </t>
  </si>
  <si>
    <t>کاپ کیک وانیلی قلبی با دراژه درسین(65گ 24ع)</t>
  </si>
  <si>
    <t>کاپ کیک کاکائویی قلبی باچپیس شکلات درسین(65گ24ع)</t>
  </si>
  <si>
    <t xml:space="preserve">صبحانه کشمشي شفاف بنيس(110گ 24ع ) </t>
  </si>
  <si>
    <t>بارکیک پونتوس بنیس ( 55 گ 24 ع)</t>
  </si>
  <si>
    <t>بارکیک سنین کیک بنیس ( 55 گ 24 ع)</t>
  </si>
  <si>
    <t>بارکیک سوملی  بنیس ( 50 گ 24 ع)</t>
  </si>
  <si>
    <t>اوچ  70  بنیس(70 گ 24 ع )</t>
  </si>
  <si>
    <t>اوچ عسلی بنیس (75 گ 24 ع )</t>
  </si>
  <si>
    <t>اوچ کاکائو بنیس (75 گ 24 ع )</t>
  </si>
  <si>
    <t>دولایه ناپولی بنیس (65 گ 24 ع )</t>
  </si>
  <si>
    <t>دو لایه شطرنجی بنیس (45 گ 24 ع )</t>
  </si>
  <si>
    <t>تورتا بنیس(55گ 24 ع )</t>
  </si>
  <si>
    <t>سه لایه سوملی بنیس(65 گ 24 ع )</t>
  </si>
  <si>
    <t>مینی رول روکش شکلات بنیس (40 گ 24 ع )</t>
  </si>
  <si>
    <t>سوت رول كرم كاكائو بنیس(35 گ 24 ع )</t>
  </si>
  <si>
    <t>سوئیس رول شفاف کاکائو بنیس(90 گ 24 ع )</t>
  </si>
  <si>
    <t>سوئیس رول شفاف پرتقال بنیس(90 گ 24 ع )</t>
  </si>
  <si>
    <t>سوئیس رول شفاف توت فرنگی بنیس(90 گ 24 ع )</t>
  </si>
  <si>
    <t>سوئیس رول توت فرنگی نیلو(60گ 24 ع )</t>
  </si>
  <si>
    <t>سوئیس رول پرتقالی نیلو (60 گ 24 ع )</t>
  </si>
  <si>
    <t>سوئیس رول کرم کاکائو نیلو (60 گ 24 ع )</t>
  </si>
  <si>
    <t>سوئیس رول کاکائو با کرم وانیلی نیلو (60 گ 24 ع )</t>
  </si>
  <si>
    <t>کیک دولایه شفاف بنیس(70 گ 24 ع )</t>
  </si>
  <si>
    <t>اسپونج کاکائو با کرم کاکائو بنیس (35 گ 36 ع )</t>
  </si>
  <si>
    <t>اسپونج وانیلی با کرم وانیل بنیس(35 گ 36 ع )</t>
  </si>
  <si>
    <t>دولایه توت فرنگی  بنیس (50گ 22 ع )</t>
  </si>
  <si>
    <t>دولایه پرتقالی بنیس (50 گ 22 ع )</t>
  </si>
  <si>
    <t>سوئیس رول شفاف کاکائو بنیس (90 گ 16 ع )</t>
  </si>
  <si>
    <t xml:space="preserve">سوئیس رول شفاف پرتقال بنیس (90 گ 16 ع ) </t>
  </si>
  <si>
    <t>سوئیس رول شفاف توت فرنگی بنیس (90 گ 16 ع )</t>
  </si>
  <si>
    <t>دولايه توت فرنگي بنيس (50 گ 24 ع)</t>
  </si>
  <si>
    <t xml:space="preserve">دولايه پرتقالي بنيس (50 گ 24 ع) </t>
  </si>
  <si>
    <t>رول کیک پنیری با روکش شکلات ( 50گ 24 ع)</t>
  </si>
  <si>
    <t>رول کیک پنیری با روکش سفید ( 50گ 24 ع)</t>
  </si>
  <si>
    <t>کلوچه 6 عددی گردوئی بنیس (120 گ 12 ع )</t>
  </si>
  <si>
    <t>کلوچه معمولی گردویی بنیس (70 گ 16 ع )</t>
  </si>
  <si>
    <t>کلوچه سنتی گردوئی  بنیس (85 گ 24 ع )</t>
  </si>
  <si>
    <t>کلوچه سنتی خرمائی بنیس   (85 گ 24 ع )</t>
  </si>
  <si>
    <t>کلوچه نارگیلی   بنیس (115 گ 24 ع )</t>
  </si>
  <si>
    <t>کلوچه معمولی موزی (60 گ 24 ع )</t>
  </si>
  <si>
    <t>کلوچه معمولی نارگیلی (60 گ 24 ع )</t>
  </si>
  <si>
    <t>کلوچه سنتی گردوئی  بنیس (85 گ 12 ع )</t>
  </si>
  <si>
    <t>کلوچه سنتی خرمائی  بنیس (85 گ 12 ع )</t>
  </si>
  <si>
    <t>کلوچه نارگیلی  بنیس(115 گ 12 ع )</t>
  </si>
  <si>
    <t>کلوچه معمولی گردویی بنیس (70 گ 24 ع )</t>
  </si>
  <si>
    <t>ویفر دارک بنیس (80 گ 24 ع )</t>
  </si>
  <si>
    <t>ویفر موزی  بنیس   (90 گ 24 ع )</t>
  </si>
  <si>
    <t>ویفر توت بنیس (90 گ 24 ع )</t>
  </si>
  <si>
    <t>ویفر پرتقال بنیس  (90 گ 24 ع )</t>
  </si>
  <si>
    <t>ویفر کرم کاکائو بنیس  (90 گ 24 ع )</t>
  </si>
  <si>
    <t>ویفر دارک بنیس  (70 گ 24 ع )</t>
  </si>
  <si>
    <t>ویفر فندق بنیس (70 گ 24 ع )</t>
  </si>
  <si>
    <t>ویفر موز  بنیس  (70گ 24 ع )</t>
  </si>
  <si>
    <t>ویفر فندق  بنیس (30 گ 40 ع )</t>
  </si>
  <si>
    <t>ویفرموز بنیس (30 گ 40 ع )</t>
  </si>
  <si>
    <t>ویفر دارک بنیس (30 گ 40 ع )</t>
  </si>
  <si>
    <t>ویفر شکلاتی درکیت (30 گ 24 ع )</t>
  </si>
  <si>
    <t>مینی ویفر شکلاتی فله 3 کیلو بنیس</t>
  </si>
  <si>
    <t>مینی ویفر کاکائویی با کرم وانیل ماتریکس بنیس</t>
  </si>
  <si>
    <t>مینی ویفر کرم شیری با طعم کارامل ماتریکس بنیس</t>
  </si>
  <si>
    <t>مینی ویفر وانیل خامه  ماتریکس بنیس</t>
  </si>
  <si>
    <t>مینی ویفر فندوقی ماتریکس بنیس</t>
  </si>
  <si>
    <t xml:space="preserve">مینی ویفر بادام زمینی ماتریکس بنیس </t>
  </si>
  <si>
    <t xml:space="preserve">ويفر بالتا کاکائويي با کرم کاکائو ( 50 گ 24 ع) </t>
  </si>
  <si>
    <t xml:space="preserve">ويفر بالتا کاکائويي با کرم کاکائو و روکش دارک ( 50 گ 24 ع) </t>
  </si>
  <si>
    <t xml:space="preserve">ويفر دورنگ ماتريکس با شکلات (25 گ 24ع) </t>
  </si>
  <si>
    <t xml:space="preserve"> بیسکوئیت پذیرایی شکری بنیس (750 گ 6 ع )</t>
  </si>
  <si>
    <t>بیسکوئیت پذیرایی شهد انگور بنیس(750 گ 6 ع )</t>
  </si>
  <si>
    <t xml:space="preserve"> بیسکوئیت پذیرایی کنجد ی بنیس(750 گ 6 ع )</t>
  </si>
  <si>
    <t>بیسکوییت فله پرتقالی بنیس</t>
  </si>
  <si>
    <t>بیسکوییت فله نارگیلی بنیس</t>
  </si>
  <si>
    <t>دایجستیو کرم کاکایو بنیس(85 گ 18 ع )</t>
  </si>
  <si>
    <t>دایجستیو کرم قهوه بنیس(85 گ 18 ع )</t>
  </si>
  <si>
    <t>بیسکوییت ماتریکس کرم کاکایویی بنیس(90 گ 24 ع )</t>
  </si>
  <si>
    <t>بیسکوییت ماتریکس کرم وانیل بنیس(90 گ 24 ع )</t>
  </si>
  <si>
    <t>بيسکو کاکائو با کرم کاکائو (110 گ 24 ع)</t>
  </si>
  <si>
    <t xml:space="preserve">بيسکو کاکائو با کرم وانيل (110 گ 24 ع) </t>
  </si>
  <si>
    <t xml:space="preserve">بيسکو وانيلي با کرم کاکائو (110 گ 24 ع) </t>
  </si>
  <si>
    <t>بیسکوئیت دایجستیو 3 عددی (35گ 48ع)</t>
  </si>
  <si>
    <t xml:space="preserve"> ماتریکس 35 بنیس(35گ 24 ع )</t>
  </si>
  <si>
    <t>شوکو  لبخند تکی بنیس(32 گ 24 ع )</t>
  </si>
  <si>
    <t>شکلات تک انگشتی بنیس(25 گ 24 ع )</t>
  </si>
  <si>
    <t>شوکو پای روکش کاکائو بنیس (22 گ 24 ع )</t>
  </si>
  <si>
    <t>شوکو پای روکش کاکائو  بنیس(35 گ 60 ع )</t>
  </si>
  <si>
    <t>شوکو پای روکش سفید بنیس(35 گ 60 ع )</t>
  </si>
  <si>
    <t>شوکو پاي روکش سفيد بنيس(35 گ 36 ع)</t>
  </si>
  <si>
    <t>شوکو پاي روکش شکلات بنيس(35 گ 36 ع)</t>
  </si>
  <si>
    <t>شکو بیسکوئیت لبخند دو تائی (68گ 12ع)</t>
  </si>
  <si>
    <t>مینی ویفر شکلاتی پاکتی بنیس (245گ12ع)</t>
  </si>
  <si>
    <t>جمع ارس پر</t>
  </si>
  <si>
    <t>دو قلو مغزدار نیلو(55 گ 24 ع )</t>
  </si>
  <si>
    <t>کاپ دوقلو  بنیس(60 گ 24 ع )</t>
  </si>
  <si>
    <t>صبحانه رویال بنیس(130گ 24 ع )</t>
  </si>
  <si>
    <t>عصرانه شفاف بنیس(90 گ 24 ع )</t>
  </si>
  <si>
    <t>کاپ پرتقال بنیس(65 گ 24 ع )</t>
  </si>
  <si>
    <t>کیک کشمشی بنیس (70 گ 24 ع )</t>
  </si>
  <si>
    <t>کاپ براونی  بنیس(45 گ 24 ع )</t>
  </si>
  <si>
    <t>کیک کشمشی نیلو (70 گ 24 ع )</t>
  </si>
  <si>
    <t>کیک  حلقه ای دونات پرتقالی نیلو(80 گ 24 ع )</t>
  </si>
  <si>
    <t>کیک حلقه ای  دونات وانیلی نیلو(80 گ 24 ع )</t>
  </si>
  <si>
    <t>کیک اسپیرال مغزدار نیلو(100گ 24 ع )</t>
  </si>
  <si>
    <t>کیک کاکائویی( 120 گ24ع)</t>
  </si>
  <si>
    <t>کروسان (50گ20ع)</t>
  </si>
  <si>
    <t xml:space="preserve">کاپ براوني نيلو ( 45 گ 24 ع ) </t>
  </si>
  <si>
    <t xml:space="preserve">کيک صبحانه وانيل پرتقال ( 120 گ 20 ع) </t>
  </si>
  <si>
    <t xml:space="preserve">کيک صبحانه وانيل کاکائو ( 120 گ 20 ع) </t>
  </si>
  <si>
    <t>کروسان (50گ24ع)</t>
  </si>
  <si>
    <t>شیرینی نارگیلی گل محمدی (70 گ24ع)</t>
  </si>
  <si>
    <t xml:space="preserve">کروسان (50 گ 30 عددي ) </t>
  </si>
  <si>
    <t>رول پرتقالی</t>
  </si>
  <si>
    <t xml:space="preserve">رول کاکائویی </t>
  </si>
  <si>
    <t>جمع نیلو</t>
  </si>
  <si>
    <t>شوکو رول كاكائویی بنیس (24 گ 24 ع )</t>
  </si>
  <si>
    <t>شوکو رول فندقی بنیس (24 گ 24 ع )</t>
  </si>
  <si>
    <t>شوکو رول قهوه بنیس (24 گ 24 ع )</t>
  </si>
  <si>
    <t>شوکو رول پرتقالی بنیس (24 گ 24 ع )</t>
  </si>
  <si>
    <t>شوکو رول توت فرنگی بنیس (24 گ 24 ع )</t>
  </si>
  <si>
    <t>شوکو رول کاکائو 100 گرم</t>
  </si>
  <si>
    <t>شوکو رول فندقی 100 گرم</t>
  </si>
  <si>
    <t>شوکو رول توت فرنگی 100 گرم</t>
  </si>
  <si>
    <t>جمع تهبازی</t>
  </si>
  <si>
    <t>بيسکو شکلات بنيس (50 گ 24 ع )</t>
  </si>
  <si>
    <t>شکلات صبحانه  تک رنگ بنيس(100 گ 6 ع )</t>
  </si>
  <si>
    <t>شکلات صبحانه دورنگ بنيس (100 گ 6 ع )</t>
  </si>
  <si>
    <t xml:space="preserve">شکلات سرنگي بنيس (35 گ 25 ع) </t>
  </si>
  <si>
    <t xml:space="preserve">شکلات نيم سرنگي بنيس (20 گ 25 ع) </t>
  </si>
  <si>
    <t xml:space="preserve">تري چاکلت بنيس (45 گ 24 ع) </t>
  </si>
  <si>
    <t xml:space="preserve">دراژه پاکتي بنيس ( 40 گ 24 ع) </t>
  </si>
  <si>
    <t>دراژه لیوانی (120گ6ع)</t>
  </si>
  <si>
    <t>کرم کاکائو تیوپی جرقه ای ( 30 گ 24ع)</t>
  </si>
  <si>
    <t>شکوبار نارگیل بنیس (40 گ    ع)</t>
  </si>
  <si>
    <t>شکوبار نارگیل بنیس 20 گ    ع)</t>
  </si>
  <si>
    <t>شکوبار نوقا و کارامل بنیس (40 گ    ع)</t>
  </si>
  <si>
    <t>شکوبار نوقا و کارامل بنیس (20 گ    ع)</t>
  </si>
  <si>
    <t xml:space="preserve">بيسکو شکلات بنيس (50 گ 12ع ) </t>
  </si>
  <si>
    <t>بيسکو شاه توت بنيس ( 50 گ 12 ع)</t>
  </si>
  <si>
    <t xml:space="preserve">بيسکو پرتقالي بنيس ( 50 گ 12 ع ) </t>
  </si>
  <si>
    <t>جمع سیاسر</t>
  </si>
  <si>
    <t>کاپ کیک نارگیلی ناربن( ٦٥ گرم ٣٦ عددی )</t>
  </si>
  <si>
    <t>کاپ کیک کلدن کشمشی ناربن (70 گرم 24عددی )</t>
  </si>
  <si>
    <t>کيک دوقلو بوتا مغزدار کاکائويي ناربن</t>
  </si>
  <si>
    <t>دولايه شطرنجي کنجدي ناربن</t>
  </si>
  <si>
    <t xml:space="preserve">دولايه توت فرنگي موتلو ناربن  </t>
  </si>
  <si>
    <t xml:space="preserve">سوئيس رول شفاف توت فرنگي ناربن </t>
  </si>
  <si>
    <t>سوئيس رول شفاف پرتقالي ناربن</t>
  </si>
  <si>
    <t xml:space="preserve">سوئيس رول شفاف کاکائويي ناربن </t>
  </si>
  <si>
    <t>کلوچه سنتي نارگيلي ناربن</t>
  </si>
  <si>
    <t>کلوچه سنتي گردويي ناربن</t>
  </si>
  <si>
    <t>ويفر موزي ال بيز ناربن</t>
  </si>
  <si>
    <t xml:space="preserve">ويفر پرتقالي ال بيز ناربن </t>
  </si>
  <si>
    <t xml:space="preserve">ويفر فندقي ال بيز ناربن </t>
  </si>
  <si>
    <t xml:space="preserve">ويفر کاکائويي ال بيز ناربن </t>
  </si>
  <si>
    <t>بيسکوييت خانواده آلارام پرتقالي ناربن</t>
  </si>
  <si>
    <t xml:space="preserve">والس با روکش کاکائو ناربن </t>
  </si>
  <si>
    <t>جمع ناربن</t>
  </si>
  <si>
    <t>جمع کل</t>
  </si>
  <si>
    <t>monthly avrage</t>
  </si>
  <si>
    <t>index</t>
  </si>
  <si>
    <t xml:space="preserve">code 1 </t>
  </si>
  <si>
    <t>pareto</t>
  </si>
  <si>
    <t>code2</t>
  </si>
  <si>
    <t>code3</t>
  </si>
  <si>
    <t>cod4</t>
  </si>
  <si>
    <t>code5</t>
  </si>
  <si>
    <t>کلوچه</t>
  </si>
  <si>
    <t>85g</t>
  </si>
  <si>
    <t>گردویی</t>
  </si>
  <si>
    <t>خرمایی</t>
  </si>
  <si>
    <t>نارگیلی</t>
  </si>
  <si>
    <t xml:space="preserve">دوقلوها </t>
  </si>
  <si>
    <t xml:space="preserve"> گروه لایه ای </t>
  </si>
  <si>
    <t>دولایه شطرنجی ۴۵</t>
  </si>
  <si>
    <t xml:space="preserve">بار کیک ها </t>
  </si>
  <si>
    <t>ویفر</t>
  </si>
  <si>
    <t>تعداد کالا</t>
  </si>
  <si>
    <t xml:space="preserve">نام گروه </t>
  </si>
  <si>
    <t xml:space="preserve">تعداد میانگین ماهیانه </t>
  </si>
  <si>
    <t>سالیانه</t>
  </si>
  <si>
    <t xml:space="preserve">درصد از پرفروشترین ها </t>
  </si>
  <si>
    <t xml:space="preserve">کیک های لایه ای </t>
  </si>
  <si>
    <t xml:space="preserve">ویفرها </t>
  </si>
  <si>
    <t xml:space="preserve">کروسان </t>
  </si>
  <si>
    <t xml:space="preserve">بارکیک ها </t>
  </si>
  <si>
    <t>آپارات</t>
  </si>
  <si>
    <t>فیلیمو</t>
  </si>
  <si>
    <t>مهد کودک و سمپلینگ</t>
  </si>
  <si>
    <t>SEO</t>
  </si>
  <si>
    <t>GEO</t>
  </si>
  <si>
    <t>B2B</t>
  </si>
  <si>
    <t>تمامی کالا</t>
  </si>
  <si>
    <t>VIP و هایپرهای لوکال</t>
  </si>
  <si>
    <t>فروردین</t>
  </si>
  <si>
    <t>اردیبهشت</t>
  </si>
  <si>
    <t>آذیر</t>
  </si>
  <si>
    <t>برنامه بودجه بازاریابی — سال جاری  (Draft)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</si>
  <si>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</si>
  <si>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</si>
  <si>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</si>
  <si>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</si>
  <si>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</si>
  <si>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</si>
  <si>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</si>
  <si>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</si>
  <si>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</si>
  <si>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</si>
  <si>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</si>
  <si>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</si>
  <si>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</si>
  <si>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</si>
  <si>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</si>
  <si>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</si>
  <si>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وضع موجود (کارتن/ماه):</t>
  </si>
  <si>
    <t>تارگت (کارتن/ماه):</t>
  </si>
  <si>
    <t>↓  تارگت فصلی (کارتن)</t>
  </si>
  <si>
    <t/>
  </si>
  <si>
    <t>#</t>
  </si>
  <si>
    <t>دسته</t>
  </si>
  <si>
    <t>فعالیت / آیتم</t>
  </si>
  <si>
    <t>مسوول اجرا</t>
  </si>
  <si>
    <t>کانال / لوکیشن</t>
  </si>
  <si>
    <t>جمع سالانه</t>
  </si>
  <si>
    <t>%</t>
  </si>
  <si>
    <t xml:space="preserve">  ATL — رسانه‌های انبوه</t>
  </si>
  <si>
    <t xml:space="preserve">  ▸  رسانه‌های تلویزیونی و ماهواره‌ای</t>
  </si>
  <si>
    <t>پرشیانا</t>
  </si>
  <si>
    <t>جم</t>
  </si>
  <si>
    <t>شبکه ملی</t>
  </si>
  <si>
    <t xml:space="preserve">  ▸  محیطی (OOH)</t>
  </si>
  <si>
    <t>استرابورد</t>
  </si>
  <si>
    <t>بیلبورد</t>
  </si>
  <si>
    <t xml:space="preserve">  ▸  محتوا و تولید</t>
  </si>
  <si>
    <t>ساخت تیزرها</t>
  </si>
  <si>
    <t xml:space="preserve">  ▸  اسپانسرشیپ و اکتیویشن</t>
  </si>
  <si>
    <t>تیم والیبال و کمپین‌ها</t>
  </si>
  <si>
    <t>بازی لیگ‌ها و رپرتاژ آگهی</t>
  </si>
  <si>
    <t xml:space="preserve">  ▸  سفیران برند</t>
  </si>
  <si>
    <t>سفیران برند</t>
  </si>
  <si>
    <t>سفیران پروداکت (تیم‌ها)</t>
  </si>
  <si>
    <t xml:space="preserve">  ▸  سمپلینگ ATL</t>
  </si>
  <si>
    <t>بوفه دانشگاه‌ها و تسترها</t>
  </si>
  <si>
    <t>قطارها و اتوبوس‌های لوکس</t>
  </si>
  <si>
    <t xml:space="preserve">  BTL — فعالیت‌های میدانی</t>
  </si>
  <si>
    <t xml:space="preserve">  ▸  جشنواره و سمپلینگ</t>
  </si>
  <si>
    <t>جشنواره‌های سمپلینگ و انیماتوری در شمال</t>
  </si>
  <si>
    <t>فلاح / پیمانکاران سازمان</t>
  </si>
  <si>
    <t>ریتیل | مازندران و گیلان</t>
  </si>
  <si>
    <t>جشنواره‌های سمپلینگ در مال‌های کلیدی</t>
  </si>
  <si>
    <t>ریتیل | تهران، اصفهان، شیراز، مشهد، تبریز</t>
  </si>
  <si>
    <t>فوکوس مارکت تست در کافی‌شاپ‌ها</t>
  </si>
  <si>
    <t>فلاح / تیم داخلی</t>
  </si>
  <si>
    <t>ریتیل | تهران، ارومیه، تبریز، البرز</t>
  </si>
  <si>
    <t>فوکوس مارکت لیگ دیجیتال و کافی گیمرها</t>
  </si>
  <si>
    <t>ریتیل | اوپال، نیایش مال، ایکس‌ایران مال</t>
  </si>
  <si>
    <t xml:space="preserve">  ▸  پروموشن و تخفیفات</t>
  </si>
  <si>
    <t>FOC (کالایی)</t>
  </si>
  <si>
    <t>ریتیل و زنجیره‌ای</t>
  </si>
  <si>
    <t>تخفیفات پلکانی (ریالی)</t>
  </si>
  <si>
    <t>رنت فضا</t>
  </si>
  <si>
    <t>هزینه‌های ساخت و ابزارها</t>
  </si>
  <si>
    <t xml:space="preserve">  ▸  آموزش و توسعه نیروی فروش</t>
  </si>
  <si>
    <t>جلسات تیم‌های روش</t>
  </si>
  <si>
    <t>ریجن‌های مختلف و هد آفیس</t>
  </si>
  <si>
    <t>مدرسه فروش</t>
  </si>
  <si>
    <t>تیم‌بیلدینگ‌ها و همایش‌ها</t>
  </si>
  <si>
    <t>اینسنتیو و Sales Force</t>
  </si>
  <si>
    <t xml:space="preserve">  TTL — دیجیتال و آنلاین</t>
  </si>
  <si>
    <t xml:space="preserve">  ▸  شبکه‌های اجتماعی و محتوا</t>
  </si>
  <si>
    <t>TTL</t>
  </si>
  <si>
    <t>وب‌سایت</t>
  </si>
  <si>
    <t>شبکه‌های اجتماعی داخلی و خارجی</t>
  </si>
  <si>
    <t>اینستا، توییتر و...</t>
  </si>
  <si>
    <t>هزینه‌های ساخت محتوا</t>
  </si>
  <si>
    <t xml:space="preserve">  ▸  پلتفرم‌های VOD و صوتی</t>
  </si>
  <si>
    <t>گپ‌فیلم</t>
  </si>
  <si>
    <t>روبیکا / بله</t>
  </si>
  <si>
    <t>پلتفرم‌های صوتی (هزینه ساخت)</t>
  </si>
  <si>
    <t>هزینه‌های بازاریابی پلتفرم‌ها</t>
  </si>
  <si>
    <t xml:space="preserve">  ▸  مارکت‌پلیس و فروش آنلاین</t>
  </si>
  <si>
    <t>دیجی‌کالا</t>
  </si>
  <si>
    <t>اکالا</t>
  </si>
  <si>
    <t>اسنپ مارکت</t>
  </si>
  <si>
    <t>کمپین‌های مشترک با وبسایت‌های فروش</t>
  </si>
  <si>
    <t xml:space="preserve">  ▸  اینفلونسر و هوش مصنوعی</t>
  </si>
  <si>
    <t>شرکت پیمانکار اینفلونسر و هزینه‌ها</t>
  </si>
  <si>
    <t>اسپانسرشیپ هوش مصنوعی</t>
  </si>
  <si>
    <t xml:space="preserve">  ▸  بهینه‌سازی جستجو</t>
  </si>
  <si>
    <t>جمع کل بودجه</t>
  </si>
  <si>
    <t>برنامه توزیع کانال‌های فروش — تارگت سالانه ۹,۶۰۰,۰۰۰ کارتن  (Draft)</t>
  </si>
  <si>
    <t>تارگت ماهانه: ۸۰۰,۰۰۰ کارتن   |   تارگت سالانه: ۹,۶۰۰,۰۰۰ کارتن</t>
  </si>
  <si>
    <t>85% ریتیل  |  12.5% زنجیره‌ای  |  2.5% هورکا</t>
  </si>
  <si>
    <t>کانال اصلی</t>
  </si>
  <si>
    <t>ساب‌کانال</t>
  </si>
  <si>
    <t>سهم %</t>
  </si>
  <si>
    <t>تارگت سالانه (کارتن)</t>
  </si>
  <si>
    <t>نوع کالا / تاکتیک</t>
  </si>
  <si>
    <t>ریتیل (خرده‌فروشی)</t>
  </si>
  <si>
    <t>سوپرمارکت</t>
  </si>
  <si>
    <t>تاکتیکال: بارکیک، ویفر، کروسان</t>
  </si>
  <si>
    <t>کافی‌شاپ‌ها</t>
  </si>
  <si>
    <t>کیوسک‌ها</t>
  </si>
  <si>
    <t>کالاهای کشنده (موجود قبلی)</t>
  </si>
  <si>
    <t>عمده‌فروشان
(زیرمجموعه ریتیل)</t>
  </si>
  <si>
    <t>عمده‌فروش‌ها</t>
  </si>
  <si>
    <t>نمایندگی
(زیرمجموعه ریتیل)</t>
  </si>
  <si>
    <t>نمایندگان قبلی</t>
  </si>
  <si>
    <t>پخش‌های کافی‌شاپی</t>
  </si>
  <si>
    <t>هورکا (HORECA)</t>
  </si>
  <si>
    <t>بر اساس نیاز</t>
  </si>
  <si>
    <t>سامانه تدارکات</t>
  </si>
  <si>
    <t>زنجیره‌ای</t>
  </si>
  <si>
    <t>زنجیره‌ای (هایپر/فروشگاه بزرگ)</t>
  </si>
  <si>
    <t>دیسکانترها</t>
  </si>
  <si>
    <t>بر اساس نیاز و مذاکره</t>
  </si>
  <si>
    <t>کانوینینس‌ها</t>
  </si>
  <si>
    <t>آنلاین شاپ‌ها</t>
  </si>
  <si>
    <t>سایر</t>
  </si>
  <si>
    <t>—</t>
  </si>
  <si>
    <t>راهنما:</t>
  </si>
  <si>
    <t>🟢  کالاهای تاکتیکال (جدید): بارکیک، ویفر، کروسان</t>
  </si>
  <si>
    <t>🟡  کالاهای کشنده (موجود قبلی): محصولات فعلی در بازار</t>
  </si>
  <si>
    <t>⚪  بر اساس نیاز / مذاکره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</si>
</sst>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#"/>
    <numFmt numFmtId="165" formatCode="0.0%"/>
    <numFmt numFmtId="166" formatCode="[$-3000401]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B Naznin"/>
      <charset val="178"/>
    </font>
    <font>
      <b/>
      <sz val="11"/>
      <color theme="1"/>
      <name val="B Naznin"/>
      <charset val="178"/>
    </font>
    <font>
      <b/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165" fontId="2" fillId="7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3" fontId="2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'دیتا '!$C$176:$N$176</c:f>
              <c:numCache>
                <c:formatCode>#,##0</c:formatCode>
                <c:ptCount val="12"/>
                <c:pt idx="0">
                  <c:v>237732</c:v>
                </c:pt>
                <c:pt idx="1">
                  <c:v>597557</c:v>
                </c:pt>
                <c:pt idx="2">
                  <c:v>365605</c:v>
                </c:pt>
                <c:pt idx="3">
                  <c:v>349119</c:v>
                </c:pt>
                <c:pt idx="4">
                  <c:v>291596</c:v>
                </c:pt>
                <c:pt idx="5">
                  <c:v>479631</c:v>
                </c:pt>
                <c:pt idx="6">
                  <c:v>623787</c:v>
                </c:pt>
                <c:pt idx="7">
                  <c:v>545913</c:v>
                </c:pt>
                <c:pt idx="8">
                  <c:v>430364</c:v>
                </c:pt>
                <c:pt idx="9">
                  <c:v>433222</c:v>
                </c:pt>
                <c:pt idx="10">
                  <c:v>421583</c:v>
                </c:pt>
                <c:pt idx="11">
                  <c:v>329439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A-4789-BCD6-CFFD9D831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686639"/>
        <c:axId val="1487687119"/>
      </c:lineChart>
      <c:catAx>
        <c:axId val="1487686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87119"/>
        <c:crosses val="autoZero"/>
        <c:auto val="0"/>
        <c:lblAlgn val="ctr"/>
        <c:lblOffset val="100"/>
        <c:noMultiLvlLbl val="0"/>
      </c:catAx>
      <c:valAx>
        <c:axId val="14876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8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10887</xdr:colOff>
      <xdr:row>151</xdr:row>
      <xdr:rowOff>21771</xdr:rowOff>
    </xdr:from>
    <xdr:to>
      <xdr:col>23</xdr:col>
      <xdr:colOff>419101</xdr:colOff>
      <xdr:row>165</xdr:row>
      <xdr:rowOff>225879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1D235-D1AB-FB93-0A32-EE0B0A75B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5BCFB1-D536-4523-AAD1-010AE8A463BA}" autoFormatId="16" applyNumberFormats="0" applyBorderFormats="0" applyFontFormats="0" applyPatternFormats="0" applyAlignmentFormats="0" applyWidthHeightFormats="0">
  <queryTableRefresh nextId="18">
    <queryTableFields count="17">
      <queryTableField id="1" name="برنامه بودجه بازاریابی — سال جاری  (Draft)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6C167C-72CD-4D5B-8606-0AB0BC8D47A5}" autoFormatId="16" applyNumberFormats="0" applyBorderFormats="0" applyFontFormats="0" applyPatternFormats="0" applyAlignmentFormats="0" applyWidthHeightFormats="0">
  <queryTableRefresh nextId="7">
    <queryTableFields count="6">
      <queryTableField id="1" name="برنامه توزیع کانال‌های فروش — تارگت سالانه ۹,۶۰۰,۰۰۰ کارتن  (Draft)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1BD57-3474-41DE-AE98-12A4C59DCEFC}" name="بودجه" displayName="بودجه" ref="A1:Q65" tableType="queryTable" totalsRowShown="0">
  <autoFilter ref="A1:Q65" xr:uid="{F981BD57-3474-41DE-AE98-12A4C59DCEFC}"/>
  <tableColumns count="17">
    <tableColumn id="1" xr3:uid="{D38AC455-FD3E-43FC-9A87-667FE782E21E}" uniqueName="1" name="برنامه بودجه بازاریابی — سال جاری  (Draft)" queryTableFieldId="1"/>
    <tableColumn id="2" xr3:uid="{1EE4496E-86E8-468D-BCAD-46BCADA434AE}" uniqueName="2" name="Column2" queryTableFieldId="2" dataDxfId="6"/>
    <tableColumn id="3" xr3:uid="{FBA9997C-22C4-42CE-BFA7-14464C053277}" uniqueName="3" name="Column3" queryTableFieldId="3"/>
    <tableColumn id="4" xr3:uid="{2D2CB6BB-15E6-4142-87AD-7BC5F13FEEF4}" uniqueName="4" name="Column4" queryTableFieldId="4" dataDxfId="5"/>
    <tableColumn id="5" xr3:uid="{E5CD3D76-2476-49BD-A591-0F717D1E9D1D}" uniqueName="5" name="Column5" queryTableFieldId="5"/>
    <tableColumn id="6" xr3:uid="{997304C8-F16F-4A19-8C9B-84F4F68F1CD1}" uniqueName="6" name="Column6" queryTableFieldId="6"/>
    <tableColumn id="7" xr3:uid="{16694D74-1486-4BBA-80F1-58D50AC6CE50}" uniqueName="7" name="Column7" queryTableFieldId="7"/>
    <tableColumn id="8" xr3:uid="{2F8BD6C0-D89D-48F7-B28E-4D2555EE2F2D}" uniqueName="8" name="Column8" queryTableFieldId="8"/>
    <tableColumn id="9" xr3:uid="{2ABE4F16-4D5C-4458-96D0-27D36ED059A7}" uniqueName="9" name="Column9" queryTableFieldId="9"/>
    <tableColumn id="10" xr3:uid="{05076CB6-F88B-4B93-8501-35E0188881B6}" uniqueName="10" name="Column10" queryTableFieldId="10"/>
    <tableColumn id="11" xr3:uid="{8D1E3988-BB08-4C2C-A148-8783D3C5081C}" uniqueName="11" name="Column11" queryTableFieldId="11"/>
    <tableColumn id="12" xr3:uid="{DB073FD5-685C-495C-90FF-FA8389A2A5A2}" uniqueName="12" name="Column12" queryTableFieldId="12"/>
    <tableColumn id="13" xr3:uid="{8D7AC20D-2E22-430E-BFE5-732C6E532C7C}" uniqueName="13" name="Column13" queryTableFieldId="13"/>
    <tableColumn id="14" xr3:uid="{FA069654-5A07-44E8-A22B-1BBA68AABE08}" uniqueName="14" name="Column14" queryTableFieldId="14"/>
    <tableColumn id="15" xr3:uid="{204164DA-AC0E-4F59-A1A1-D91078A14688}" uniqueName="15" name="Column15" queryTableFieldId="15"/>
    <tableColumn id="16" xr3:uid="{E23CC340-2135-45F3-AFBD-273FB3DC5B99}" uniqueName="16" name="Column16" queryTableFieldId="16" dataDxfId="4"/>
    <tableColumn id="17" xr3:uid="{800761B2-DCBB-4085-A7BC-7158F42975F7}" uniqueName="17" name="Column17" queryTableFieldId="1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EA681-CE62-4829-A929-A02CF232BDB2}" name="کانالها" displayName="کانالها" ref="A1:F23" tableType="queryTable" totalsRowShown="0">
  <autoFilter ref="A1:F23" xr:uid="{855EA681-CE62-4829-A929-A02CF232BDB2}"/>
  <tableColumns count="6">
    <tableColumn id="1" xr3:uid="{8F8422FA-5537-4FCA-9D67-2679D6D4FBA0}" uniqueName="1" name="برنامه توزیع کانال‌های فروش — تارگت سالانه ۹,۶۰۰,۰۰۰ کارتن  (Draft)" queryTableFieldId="1"/>
    <tableColumn id="2" xr3:uid="{D33AD15F-AC42-4090-BF45-FC1CC8D31B0C}" uniqueName="2" name="Column2" queryTableFieldId="2" dataDxfId="2"/>
    <tableColumn id="3" xr3:uid="{75E4A5A9-A0BC-4FEA-B87E-288F2BF471A8}" uniqueName="3" name="Column3" queryTableFieldId="3" dataDxfId="1"/>
    <tableColumn id="4" xr3:uid="{4899B371-5646-46B9-AEB9-D4804DA1F3FC}" uniqueName="4" name="Column4" queryTableFieldId="4"/>
    <tableColumn id="5" xr3:uid="{552A3AFF-BEBE-470D-A95B-05B3828411A5}" uniqueName="5" name="Column5" queryTableFieldId="5"/>
    <tableColumn id="6" xr3:uid="{82C584CD-AA53-4073-B8E7-3CEA14B28A0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3A5A-0D3E-4FCE-B08F-FF8FF5C6B23A}">
  <dimension ref="A1:Q65"/>
  <sheetViews>
    <sheetView tabSelected="1" workbookViewId="0"/>
  </sheetViews>
  <sheetFormatPr defaultRowHeight="14.4"/>
  <cols>
    <col min="1" max="1" width="30.41796875" bestFit="1" customWidth="1"/>
    <col min="2" max="2" width="24.26171875" bestFit="1" customWidth="1"/>
    <col min="3" max="3" width="29.05078125" bestFit="1" customWidth="1"/>
    <col min="4" max="4" width="16.20703125" bestFit="1" customWidth="1"/>
    <col min="5" max="5" width="28" bestFit="1" customWidth="1"/>
    <col min="6" max="9" width="10.15625" bestFit="1" customWidth="1"/>
    <col min="10" max="17" width="11.15625" bestFit="1" customWidth="1"/>
  </cols>
  <sheetData>
    <row r="1" spans="1:17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</row>
    <row r="2" spans="1:17">
      <c r="B2" s="41" t="s">
        <v>245</v>
      </c>
      <c r="C2">
        <v>400000</v>
      </c>
      <c r="D2" s="41" t="s">
        <v>246</v>
      </c>
      <c r="E2">
        <v>800000</v>
      </c>
      <c r="P2" s="41"/>
      <c r="Q2" s="41"/>
    </row>
    <row r="3" spans="1:17">
      <c r="B3" s="41" t="s">
        <v>247</v>
      </c>
      <c r="D3" s="41"/>
      <c r="F3">
        <v>822000</v>
      </c>
      <c r="G3">
        <v>785000</v>
      </c>
      <c r="H3">
        <v>656000</v>
      </c>
      <c r="I3">
        <v>1078000</v>
      </c>
      <c r="J3">
        <v>1402000</v>
      </c>
      <c r="K3">
        <v>1227000</v>
      </c>
      <c r="L3">
        <v>968000</v>
      </c>
      <c r="M3">
        <v>974000</v>
      </c>
      <c r="N3">
        <v>948000</v>
      </c>
      <c r="O3">
        <v>741000</v>
      </c>
      <c r="P3" s="41" t="s">
        <v>248</v>
      </c>
      <c r="Q3" s="41"/>
    </row>
    <row r="4" spans="1:17">
      <c r="A4" t="s">
        <v>249</v>
      </c>
      <c r="B4" s="41" t="s">
        <v>250</v>
      </c>
      <c r="C4" t="s">
        <v>251</v>
      </c>
      <c r="D4" s="41" t="s">
        <v>252</v>
      </c>
      <c r="E4" t="s">
        <v>253</v>
      </c>
      <c r="F4" t="s">
        <v>2</v>
      </c>
      <c r="G4" t="s">
        <v>1</v>
      </c>
      <c r="H4" t="s">
        <v>0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s="41" t="s">
        <v>254</v>
      </c>
      <c r="Q4" s="41" t="s">
        <v>255</v>
      </c>
    </row>
    <row r="5" spans="1:17">
      <c r="A5" t="s">
        <v>256</v>
      </c>
      <c r="B5" s="41"/>
      <c r="D5" s="41"/>
      <c r="P5" s="41"/>
      <c r="Q5" s="41"/>
    </row>
    <row r="6" spans="1:17">
      <c r="B6" s="41" t="s">
        <v>257</v>
      </c>
      <c r="D6" s="41"/>
      <c r="P6" s="41"/>
      <c r="Q6" s="41"/>
    </row>
    <row r="7" spans="1:17">
      <c r="A7">
        <v>1</v>
      </c>
      <c r="B7" s="41" t="s">
        <v>10</v>
      </c>
      <c r="C7" t="s">
        <v>258</v>
      </c>
      <c r="D7" s="41"/>
      <c r="P7" s="41" t="s">
        <v>248</v>
      </c>
      <c r="Q7" s="41" t="s">
        <v>248</v>
      </c>
    </row>
    <row r="8" spans="1:17">
      <c r="A8">
        <v>2</v>
      </c>
      <c r="B8" s="41" t="s">
        <v>10</v>
      </c>
      <c r="C8" t="s">
        <v>259</v>
      </c>
      <c r="D8" s="41"/>
      <c r="P8" s="41" t="s">
        <v>248</v>
      </c>
      <c r="Q8" s="41" t="s">
        <v>248</v>
      </c>
    </row>
    <row r="9" spans="1:17">
      <c r="A9">
        <v>3</v>
      </c>
      <c r="B9" s="41" t="s">
        <v>10</v>
      </c>
      <c r="C9" t="s">
        <v>260</v>
      </c>
      <c r="D9" s="41"/>
      <c r="P9" s="41" t="s">
        <v>248</v>
      </c>
      <c r="Q9" s="41" t="s">
        <v>248</v>
      </c>
    </row>
    <row r="10" spans="1:17">
      <c r="B10" s="41" t="s">
        <v>261</v>
      </c>
      <c r="D10" s="41"/>
      <c r="P10" s="41"/>
      <c r="Q10" s="41"/>
    </row>
    <row r="11" spans="1:17">
      <c r="A11">
        <v>4</v>
      </c>
      <c r="B11" s="41" t="s">
        <v>10</v>
      </c>
      <c r="C11" t="s">
        <v>262</v>
      </c>
      <c r="D11" s="41"/>
      <c r="P11" s="41" t="s">
        <v>248</v>
      </c>
      <c r="Q11" s="41" t="s">
        <v>248</v>
      </c>
    </row>
    <row r="12" spans="1:17">
      <c r="A12">
        <v>5</v>
      </c>
      <c r="B12" s="41" t="s">
        <v>10</v>
      </c>
      <c r="C12" t="s">
        <v>263</v>
      </c>
      <c r="D12" s="41"/>
      <c r="P12" s="41" t="s">
        <v>248</v>
      </c>
      <c r="Q12" s="41" t="s">
        <v>248</v>
      </c>
    </row>
    <row r="13" spans="1:17">
      <c r="B13" s="41" t="s">
        <v>264</v>
      </c>
      <c r="D13" s="41"/>
      <c r="P13" s="41"/>
      <c r="Q13" s="41"/>
    </row>
    <row r="14" spans="1:17">
      <c r="A14">
        <v>6</v>
      </c>
      <c r="B14" s="41" t="s">
        <v>10</v>
      </c>
      <c r="C14" t="s">
        <v>265</v>
      </c>
      <c r="D14" s="41"/>
      <c r="P14" s="41" t="s">
        <v>248</v>
      </c>
      <c r="Q14" s="41" t="s">
        <v>248</v>
      </c>
    </row>
    <row r="15" spans="1:17">
      <c r="B15" s="41" t="s">
        <v>266</v>
      </c>
      <c r="D15" s="41"/>
      <c r="P15" s="41"/>
      <c r="Q15" s="41"/>
    </row>
    <row r="16" spans="1:17">
      <c r="A16">
        <v>7</v>
      </c>
      <c r="B16" s="41" t="s">
        <v>10</v>
      </c>
      <c r="C16" t="s">
        <v>267</v>
      </c>
      <c r="D16" s="41"/>
      <c r="P16" s="41" t="s">
        <v>248</v>
      </c>
      <c r="Q16" s="41" t="s">
        <v>248</v>
      </c>
    </row>
    <row r="17" spans="1:17">
      <c r="A17">
        <v>8</v>
      </c>
      <c r="B17" s="41" t="s">
        <v>10</v>
      </c>
      <c r="C17" t="s">
        <v>268</v>
      </c>
      <c r="D17" s="41"/>
      <c r="P17" s="41" t="s">
        <v>248</v>
      </c>
      <c r="Q17" s="41" t="s">
        <v>248</v>
      </c>
    </row>
    <row r="18" spans="1:17">
      <c r="B18" s="41" t="s">
        <v>269</v>
      </c>
      <c r="D18" s="41"/>
      <c r="P18" s="41"/>
      <c r="Q18" s="41"/>
    </row>
    <row r="19" spans="1:17">
      <c r="A19">
        <v>9</v>
      </c>
      <c r="B19" s="41" t="s">
        <v>10</v>
      </c>
      <c r="C19" t="s">
        <v>270</v>
      </c>
      <c r="D19" s="41"/>
      <c r="P19" s="41" t="s">
        <v>248</v>
      </c>
      <c r="Q19" s="41" t="s">
        <v>248</v>
      </c>
    </row>
    <row r="20" spans="1:17">
      <c r="A20">
        <v>10</v>
      </c>
      <c r="B20" s="41" t="s">
        <v>10</v>
      </c>
      <c r="C20" t="s">
        <v>271</v>
      </c>
      <c r="D20" s="41"/>
      <c r="P20" s="41" t="s">
        <v>248</v>
      </c>
      <c r="Q20" s="41" t="s">
        <v>248</v>
      </c>
    </row>
    <row r="21" spans="1:17">
      <c r="B21" s="41" t="s">
        <v>272</v>
      </c>
      <c r="D21" s="41"/>
      <c r="P21" s="41"/>
      <c r="Q21" s="41"/>
    </row>
    <row r="22" spans="1:17">
      <c r="A22">
        <v>11</v>
      </c>
      <c r="B22" s="41" t="s">
        <v>10</v>
      </c>
      <c r="C22" t="s">
        <v>219</v>
      </c>
      <c r="D22" s="41"/>
      <c r="P22" s="41" t="s">
        <v>248</v>
      </c>
      <c r="Q22" s="41" t="s">
        <v>248</v>
      </c>
    </row>
    <row r="23" spans="1:17">
      <c r="A23">
        <v>12</v>
      </c>
      <c r="B23" s="41" t="s">
        <v>10</v>
      </c>
      <c r="C23" t="s">
        <v>273</v>
      </c>
      <c r="D23" s="41"/>
      <c r="P23" s="41" t="s">
        <v>248</v>
      </c>
      <c r="Q23" s="41" t="s">
        <v>248</v>
      </c>
    </row>
    <row r="24" spans="1:17">
      <c r="A24">
        <v>13</v>
      </c>
      <c r="B24" s="41" t="s">
        <v>10</v>
      </c>
      <c r="C24" t="s">
        <v>274</v>
      </c>
      <c r="D24" s="41"/>
      <c r="P24" s="41" t="s">
        <v>248</v>
      </c>
      <c r="Q24" s="41" t="s">
        <v>248</v>
      </c>
    </row>
    <row r="25" spans="1:17">
      <c r="A25" t="s">
        <v>275</v>
      </c>
      <c r="B25" s="41"/>
      <c r="D25" s="41"/>
      <c r="P25" s="41"/>
      <c r="Q25" s="41"/>
    </row>
    <row r="26" spans="1:17">
      <c r="B26" s="41" t="s">
        <v>276</v>
      </c>
      <c r="D26" s="41"/>
      <c r="P26" s="41"/>
      <c r="Q26" s="41"/>
    </row>
    <row r="27" spans="1:17">
      <c r="A27">
        <v>14</v>
      </c>
      <c r="B27" s="41" t="s">
        <v>11</v>
      </c>
      <c r="C27" t="s">
        <v>277</v>
      </c>
      <c r="D27" s="41" t="s">
        <v>278</v>
      </c>
      <c r="E27" t="s">
        <v>279</v>
      </c>
      <c r="P27" s="41" t="s">
        <v>248</v>
      </c>
      <c r="Q27" s="41" t="s">
        <v>248</v>
      </c>
    </row>
    <row r="28" spans="1:17">
      <c r="A28">
        <v>15</v>
      </c>
      <c r="B28" s="41" t="s">
        <v>11</v>
      </c>
      <c r="C28" t="s">
        <v>280</v>
      </c>
      <c r="D28" s="41" t="s">
        <v>278</v>
      </c>
      <c r="E28" t="s">
        <v>281</v>
      </c>
      <c r="P28" s="41" t="s">
        <v>248</v>
      </c>
      <c r="Q28" s="41" t="s">
        <v>248</v>
      </c>
    </row>
    <row r="29" spans="1:17">
      <c r="A29">
        <v>16</v>
      </c>
      <c r="B29" s="41" t="s">
        <v>11</v>
      </c>
      <c r="C29" t="s">
        <v>282</v>
      </c>
      <c r="D29" s="41" t="s">
        <v>283</v>
      </c>
      <c r="E29" t="s">
        <v>284</v>
      </c>
      <c r="P29" s="41" t="s">
        <v>248</v>
      </c>
      <c r="Q29" s="41" t="s">
        <v>248</v>
      </c>
    </row>
    <row r="30" spans="1:17">
      <c r="A30">
        <v>17</v>
      </c>
      <c r="B30" s="41" t="s">
        <v>11</v>
      </c>
      <c r="C30" t="s">
        <v>285</v>
      </c>
      <c r="D30" s="41"/>
      <c r="E30" t="s">
        <v>286</v>
      </c>
      <c r="P30" s="41" t="s">
        <v>248</v>
      </c>
      <c r="Q30" s="41" t="s">
        <v>248</v>
      </c>
    </row>
    <row r="31" spans="1:17">
      <c r="B31" s="41" t="s">
        <v>287</v>
      </c>
      <c r="D31" s="41"/>
      <c r="P31" s="41"/>
      <c r="Q31" s="41"/>
    </row>
    <row r="32" spans="1:17">
      <c r="A32">
        <v>18</v>
      </c>
      <c r="B32" s="41" t="s">
        <v>11</v>
      </c>
      <c r="C32" t="s">
        <v>288</v>
      </c>
      <c r="D32" s="41"/>
      <c r="E32" t="s">
        <v>289</v>
      </c>
      <c r="P32" s="41" t="s">
        <v>248</v>
      </c>
      <c r="Q32" s="41" t="s">
        <v>248</v>
      </c>
    </row>
    <row r="33" spans="1:17">
      <c r="A33">
        <v>19</v>
      </c>
      <c r="B33" s="41" t="s">
        <v>11</v>
      </c>
      <c r="C33" t="s">
        <v>290</v>
      </c>
      <c r="D33" s="41"/>
      <c r="E33" t="s">
        <v>289</v>
      </c>
      <c r="P33" s="41" t="s">
        <v>248</v>
      </c>
      <c r="Q33" s="41" t="s">
        <v>248</v>
      </c>
    </row>
    <row r="34" spans="1:17">
      <c r="A34">
        <v>20</v>
      </c>
      <c r="B34" s="41" t="s">
        <v>11</v>
      </c>
      <c r="C34" t="s">
        <v>291</v>
      </c>
      <c r="D34" s="41"/>
      <c r="E34" t="s">
        <v>289</v>
      </c>
      <c r="P34" s="41" t="s">
        <v>248</v>
      </c>
      <c r="Q34" s="41" t="s">
        <v>248</v>
      </c>
    </row>
    <row r="35" spans="1:17">
      <c r="A35">
        <v>21</v>
      </c>
      <c r="B35" s="41" t="s">
        <v>11</v>
      </c>
      <c r="C35" t="s">
        <v>292</v>
      </c>
      <c r="D35" s="41" t="s">
        <v>278</v>
      </c>
      <c r="E35" t="s">
        <v>289</v>
      </c>
      <c r="P35" s="41" t="s">
        <v>248</v>
      </c>
      <c r="Q35" s="41" t="s">
        <v>248</v>
      </c>
    </row>
    <row r="36" spans="1:17">
      <c r="B36" s="41" t="s">
        <v>293</v>
      </c>
      <c r="D36" s="41"/>
      <c r="P36" s="41"/>
      <c r="Q36" s="41"/>
    </row>
    <row r="37" spans="1:17">
      <c r="A37">
        <v>22</v>
      </c>
      <c r="B37" s="41" t="s">
        <v>11</v>
      </c>
      <c r="C37" t="s">
        <v>294</v>
      </c>
      <c r="D37" s="41"/>
      <c r="E37" t="s">
        <v>295</v>
      </c>
      <c r="P37" s="41" t="s">
        <v>248</v>
      </c>
      <c r="Q37" s="41" t="s">
        <v>248</v>
      </c>
    </row>
    <row r="38" spans="1:17">
      <c r="A38">
        <v>23</v>
      </c>
      <c r="B38" s="41" t="s">
        <v>11</v>
      </c>
      <c r="C38" t="s">
        <v>296</v>
      </c>
      <c r="D38" s="41"/>
      <c r="P38" s="41" t="s">
        <v>248</v>
      </c>
      <c r="Q38" s="41" t="s">
        <v>248</v>
      </c>
    </row>
    <row r="39" spans="1:17">
      <c r="A39">
        <v>24</v>
      </c>
      <c r="B39" s="41" t="s">
        <v>11</v>
      </c>
      <c r="C39" t="s">
        <v>297</v>
      </c>
      <c r="D39" s="41"/>
      <c r="P39" s="41" t="s">
        <v>248</v>
      </c>
      <c r="Q39" s="41" t="s">
        <v>248</v>
      </c>
    </row>
    <row r="40" spans="1:17">
      <c r="A40">
        <v>25</v>
      </c>
      <c r="B40" s="41" t="s">
        <v>11</v>
      </c>
      <c r="C40" t="s">
        <v>298</v>
      </c>
      <c r="D40" s="41"/>
      <c r="P40" s="41" t="s">
        <v>248</v>
      </c>
      <c r="Q40" s="41" t="s">
        <v>248</v>
      </c>
    </row>
    <row r="41" spans="1:17">
      <c r="A41" t="s">
        <v>299</v>
      </c>
      <c r="B41" s="41"/>
      <c r="D41" s="41"/>
      <c r="P41" s="41"/>
      <c r="Q41" s="41"/>
    </row>
    <row r="42" spans="1:17">
      <c r="B42" s="41" t="s">
        <v>300</v>
      </c>
      <c r="D42" s="41"/>
      <c r="P42" s="41"/>
      <c r="Q42" s="41"/>
    </row>
    <row r="43" spans="1:17">
      <c r="A43">
        <v>26</v>
      </c>
      <c r="B43" s="41" t="s">
        <v>301</v>
      </c>
      <c r="C43" t="s">
        <v>302</v>
      </c>
      <c r="D43" s="41"/>
      <c r="P43" s="41" t="s">
        <v>248</v>
      </c>
      <c r="Q43" s="41" t="s">
        <v>248</v>
      </c>
    </row>
    <row r="44" spans="1:17">
      <c r="A44">
        <v>27</v>
      </c>
      <c r="B44" s="41" t="s">
        <v>301</v>
      </c>
      <c r="C44" t="s">
        <v>303</v>
      </c>
      <c r="D44" s="41"/>
      <c r="P44" s="41" t="s">
        <v>248</v>
      </c>
      <c r="Q44" s="41" t="s">
        <v>248</v>
      </c>
    </row>
    <row r="45" spans="1:17">
      <c r="A45">
        <v>28</v>
      </c>
      <c r="B45" s="41" t="s">
        <v>301</v>
      </c>
      <c r="C45" t="s">
        <v>304</v>
      </c>
      <c r="D45" s="41"/>
      <c r="P45" s="41" t="s">
        <v>248</v>
      </c>
      <c r="Q45" s="41" t="s">
        <v>248</v>
      </c>
    </row>
    <row r="46" spans="1:17">
      <c r="A46">
        <v>29</v>
      </c>
      <c r="B46" s="41" t="s">
        <v>301</v>
      </c>
      <c r="C46" t="s">
        <v>305</v>
      </c>
      <c r="D46" s="41"/>
      <c r="P46" s="41" t="s">
        <v>248</v>
      </c>
      <c r="Q46" s="41" t="s">
        <v>248</v>
      </c>
    </row>
    <row r="47" spans="1:17">
      <c r="B47" s="41" t="s">
        <v>306</v>
      </c>
      <c r="D47" s="41"/>
      <c r="P47" s="41"/>
      <c r="Q47" s="41"/>
    </row>
    <row r="48" spans="1:17">
      <c r="A48">
        <v>30</v>
      </c>
      <c r="B48" s="41" t="s">
        <v>301</v>
      </c>
      <c r="C48" t="s">
        <v>217</v>
      </c>
      <c r="D48" s="41"/>
      <c r="P48" s="41" t="s">
        <v>248</v>
      </c>
      <c r="Q48" s="41" t="s">
        <v>248</v>
      </c>
    </row>
    <row r="49" spans="1:17">
      <c r="A49">
        <v>31</v>
      </c>
      <c r="B49" s="41" t="s">
        <v>301</v>
      </c>
      <c r="C49" t="s">
        <v>218</v>
      </c>
      <c r="D49" s="41"/>
      <c r="P49" s="41" t="s">
        <v>248</v>
      </c>
      <c r="Q49" s="41" t="s">
        <v>248</v>
      </c>
    </row>
    <row r="50" spans="1:17">
      <c r="A50">
        <v>32</v>
      </c>
      <c r="B50" s="41" t="s">
        <v>301</v>
      </c>
      <c r="C50" t="s">
        <v>307</v>
      </c>
      <c r="D50" s="41"/>
      <c r="P50" s="41" t="s">
        <v>248</v>
      </c>
      <c r="Q50" s="41" t="s">
        <v>248</v>
      </c>
    </row>
    <row r="51" spans="1:17">
      <c r="A51">
        <v>33</v>
      </c>
      <c r="B51" s="41" t="s">
        <v>301</v>
      </c>
      <c r="C51" t="s">
        <v>308</v>
      </c>
      <c r="D51" s="41"/>
      <c r="P51" s="41" t="s">
        <v>248</v>
      </c>
      <c r="Q51" s="41" t="s">
        <v>248</v>
      </c>
    </row>
    <row r="52" spans="1:17">
      <c r="A52">
        <v>34</v>
      </c>
      <c r="B52" s="41" t="s">
        <v>301</v>
      </c>
      <c r="C52" t="s">
        <v>309</v>
      </c>
      <c r="D52" s="41"/>
      <c r="P52" s="41" t="s">
        <v>248</v>
      </c>
      <c r="Q52" s="41" t="s">
        <v>248</v>
      </c>
    </row>
    <row r="53" spans="1:17">
      <c r="A53">
        <v>35</v>
      </c>
      <c r="B53" s="41" t="s">
        <v>301</v>
      </c>
      <c r="C53" t="s">
        <v>310</v>
      </c>
      <c r="D53" s="41"/>
      <c r="P53" s="41" t="s">
        <v>248</v>
      </c>
      <c r="Q53" s="41" t="s">
        <v>248</v>
      </c>
    </row>
    <row r="54" spans="1:17">
      <c r="B54" s="41" t="s">
        <v>311</v>
      </c>
      <c r="D54" s="41"/>
      <c r="P54" s="41"/>
      <c r="Q54" s="41"/>
    </row>
    <row r="55" spans="1:17">
      <c r="A55">
        <v>36</v>
      </c>
      <c r="B55" s="41" t="s">
        <v>301</v>
      </c>
      <c r="C55" t="s">
        <v>312</v>
      </c>
      <c r="D55" s="41"/>
      <c r="P55" s="41" t="s">
        <v>248</v>
      </c>
      <c r="Q55" s="41" t="s">
        <v>248</v>
      </c>
    </row>
    <row r="56" spans="1:17">
      <c r="A56">
        <v>37</v>
      </c>
      <c r="B56" s="41" t="s">
        <v>301</v>
      </c>
      <c r="C56" t="s">
        <v>313</v>
      </c>
      <c r="D56" s="41"/>
      <c r="P56" s="41" t="s">
        <v>248</v>
      </c>
      <c r="Q56" s="41" t="s">
        <v>248</v>
      </c>
    </row>
    <row r="57" spans="1:17">
      <c r="A57">
        <v>38</v>
      </c>
      <c r="B57" s="41" t="s">
        <v>301</v>
      </c>
      <c r="C57" t="s">
        <v>314</v>
      </c>
      <c r="D57" s="41"/>
      <c r="P57" s="41" t="s">
        <v>248</v>
      </c>
      <c r="Q57" s="41" t="s">
        <v>248</v>
      </c>
    </row>
    <row r="58" spans="1:17">
      <c r="A58">
        <v>39</v>
      </c>
      <c r="B58" s="41" t="s">
        <v>301</v>
      </c>
      <c r="C58" t="s">
        <v>315</v>
      </c>
      <c r="D58" s="41"/>
      <c r="P58" s="41" t="s">
        <v>248</v>
      </c>
      <c r="Q58" s="41" t="s">
        <v>248</v>
      </c>
    </row>
    <row r="59" spans="1:17">
      <c r="B59" s="41" t="s">
        <v>316</v>
      </c>
      <c r="D59" s="41"/>
      <c r="P59" s="41"/>
      <c r="Q59" s="41"/>
    </row>
    <row r="60" spans="1:17">
      <c r="A60">
        <v>40</v>
      </c>
      <c r="B60" s="41" t="s">
        <v>301</v>
      </c>
      <c r="C60" t="s">
        <v>317</v>
      </c>
      <c r="D60" s="41"/>
      <c r="P60" s="41" t="s">
        <v>248</v>
      </c>
      <c r="Q60" s="41" t="s">
        <v>248</v>
      </c>
    </row>
    <row r="61" spans="1:17">
      <c r="A61">
        <v>41</v>
      </c>
      <c r="B61" s="41" t="s">
        <v>301</v>
      </c>
      <c r="C61" t="s">
        <v>318</v>
      </c>
      <c r="D61" s="41"/>
      <c r="P61" s="41" t="s">
        <v>248</v>
      </c>
      <c r="Q61" s="41" t="s">
        <v>248</v>
      </c>
    </row>
    <row r="62" spans="1:17">
      <c r="B62" s="41" t="s">
        <v>319</v>
      </c>
      <c r="D62" s="41"/>
      <c r="P62" s="41"/>
      <c r="Q62" s="41"/>
    </row>
    <row r="63" spans="1:17">
      <c r="A63">
        <v>42</v>
      </c>
      <c r="B63" s="41" t="s">
        <v>301</v>
      </c>
      <c r="C63" t="s">
        <v>220</v>
      </c>
      <c r="D63" s="41"/>
      <c r="P63" s="41" t="s">
        <v>248</v>
      </c>
      <c r="Q63" s="41" t="s">
        <v>248</v>
      </c>
    </row>
    <row r="64" spans="1:17">
      <c r="A64">
        <v>43</v>
      </c>
      <c r="B64" s="41" t="s">
        <v>301</v>
      </c>
      <c r="C64" t="s">
        <v>221</v>
      </c>
      <c r="D64" s="41"/>
      <c r="P64" s="41" t="s">
        <v>248</v>
      </c>
      <c r="Q64" s="41" t="s">
        <v>248</v>
      </c>
    </row>
    <row r="65" spans="1:17">
      <c r="A65" t="s">
        <v>320</v>
      </c>
      <c r="B65" s="41"/>
      <c r="D65" s="41"/>
      <c r="F65" t="s">
        <v>248</v>
      </c>
      <c r="G65" t="s">
        <v>248</v>
      </c>
      <c r="H65" t="s">
        <v>248</v>
      </c>
      <c r="I65" t="s">
        <v>248</v>
      </c>
      <c r="J65" t="s">
        <v>248</v>
      </c>
      <c r="K65" t="s">
        <v>248</v>
      </c>
      <c r="L65" t="s">
        <v>248</v>
      </c>
      <c r="M65" t="s">
        <v>248</v>
      </c>
      <c r="N65" t="s">
        <v>248</v>
      </c>
      <c r="O65" t="s">
        <v>248</v>
      </c>
      <c r="P65" s="41" t="s">
        <v>248</v>
      </c>
      <c r="Q65" s="4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DFE1-06E0-470C-8FB0-9B88EA2895B2}">
  <dimension ref="A1:P176"/>
  <sheetViews>
    <sheetView rightToLeft="1" topLeftCell="A143" zoomScale="70" zoomScaleNormal="70" workbookViewId="0">
      <selection activeCell="U171" sqref="U171"/>
    </sheetView>
  </sheetViews>
  <sheetFormatPr defaultRowHeight="14.4"/>
  <cols>
    <col min="2" max="2" width="45.05078125" bestFit="1" customWidth="1"/>
    <col min="3" max="5" width="11.20703125" style="22" bestFit="1" customWidth="1"/>
    <col min="6" max="6" width="11.20703125" style="23" bestFit="1" customWidth="1"/>
    <col min="7" max="9" width="11.20703125" style="22" bestFit="1" customWidth="1"/>
    <col min="10" max="12" width="11.20703125" style="23" bestFit="1" customWidth="1"/>
    <col min="13" max="13" width="11.20703125" bestFit="1" customWidth="1"/>
    <col min="14" max="14" width="11.20703125" style="22" bestFit="1" customWidth="1"/>
    <col min="15" max="15" width="12.47265625" style="22" bestFit="1" customWidth="1"/>
  </cols>
  <sheetData>
    <row r="1" spans="1:15">
      <c r="A1" s="1" t="s">
        <v>12</v>
      </c>
      <c r="B1" s="1" t="s">
        <v>13</v>
      </c>
      <c r="C1" s="2" t="s">
        <v>225</v>
      </c>
      <c r="D1" s="2" t="s">
        <v>226</v>
      </c>
      <c r="E1" s="2" t="s">
        <v>2</v>
      </c>
      <c r="F1" s="3" t="s">
        <v>1</v>
      </c>
      <c r="G1" s="2" t="s">
        <v>0</v>
      </c>
      <c r="H1" s="2" t="s">
        <v>3</v>
      </c>
      <c r="I1" s="2" t="s">
        <v>4</v>
      </c>
      <c r="J1" s="3" t="s">
        <v>5</v>
      </c>
      <c r="K1" s="3" t="s">
        <v>227</v>
      </c>
      <c r="L1" s="3" t="s">
        <v>7</v>
      </c>
      <c r="M1" s="2" t="s">
        <v>8</v>
      </c>
      <c r="N1" s="2" t="s">
        <v>9</v>
      </c>
      <c r="O1" s="2" t="s">
        <v>14</v>
      </c>
    </row>
    <row r="2" spans="1:15" ht="18.3">
      <c r="A2" s="4">
        <v>1101</v>
      </c>
      <c r="B2" s="4" t="s">
        <v>15</v>
      </c>
      <c r="C2" s="5">
        <v>1317</v>
      </c>
      <c r="D2" s="5">
        <v>2925</v>
      </c>
      <c r="E2" s="5">
        <v>2213</v>
      </c>
      <c r="F2" s="6">
        <v>2058</v>
      </c>
      <c r="G2" s="5">
        <v>1980</v>
      </c>
      <c r="H2" s="5">
        <v>3841</v>
      </c>
      <c r="I2" s="5">
        <v>4628</v>
      </c>
      <c r="J2" s="6">
        <v>4037</v>
      </c>
      <c r="K2" s="6">
        <v>2826</v>
      </c>
      <c r="L2" s="6">
        <v>2707</v>
      </c>
      <c r="M2" s="5">
        <v>2811</v>
      </c>
      <c r="N2" s="5">
        <v>2087</v>
      </c>
      <c r="O2" s="5">
        <v>33430</v>
      </c>
    </row>
    <row r="3" spans="1:15" ht="18.3">
      <c r="A3" s="4">
        <v>1102</v>
      </c>
      <c r="B3" s="4" t="s">
        <v>16</v>
      </c>
      <c r="C3" s="5">
        <v>5291</v>
      </c>
      <c r="D3" s="5">
        <v>10602</v>
      </c>
      <c r="E3" s="5">
        <v>5843</v>
      </c>
      <c r="F3" s="6">
        <v>5621</v>
      </c>
      <c r="G3" s="5">
        <v>5946</v>
      </c>
      <c r="H3" s="5">
        <v>8588</v>
      </c>
      <c r="I3" s="5">
        <v>9196</v>
      </c>
      <c r="J3" s="6">
        <v>10348</v>
      </c>
      <c r="K3" s="6">
        <v>7727</v>
      </c>
      <c r="L3" s="6">
        <v>7364</v>
      </c>
      <c r="M3" s="5">
        <v>5775</v>
      </c>
      <c r="N3" s="5">
        <v>4961</v>
      </c>
      <c r="O3" s="5">
        <v>87262</v>
      </c>
    </row>
    <row r="4" spans="1:15" ht="18.3">
      <c r="A4" s="4">
        <v>1103</v>
      </c>
      <c r="B4" s="4" t="s">
        <v>17</v>
      </c>
      <c r="C4" s="5">
        <v>2272</v>
      </c>
      <c r="D4" s="5">
        <v>4826</v>
      </c>
      <c r="E4" s="5">
        <v>2023</v>
      </c>
      <c r="F4" s="6">
        <v>2190</v>
      </c>
      <c r="G4" s="5">
        <v>1793</v>
      </c>
      <c r="H4" s="5">
        <v>3209</v>
      </c>
      <c r="I4" s="5">
        <v>3782</v>
      </c>
      <c r="J4" s="6">
        <v>792</v>
      </c>
      <c r="K4" s="6">
        <v>1550</v>
      </c>
      <c r="L4" s="6">
        <v>2194</v>
      </c>
      <c r="M4" s="5">
        <v>1897</v>
      </c>
      <c r="N4" s="5">
        <v>912</v>
      </c>
      <c r="O4" s="5">
        <v>27440</v>
      </c>
    </row>
    <row r="5" spans="1:15" ht="18.3">
      <c r="A5" s="4">
        <v>1104</v>
      </c>
      <c r="B5" s="4" t="s">
        <v>18</v>
      </c>
      <c r="C5" s="5">
        <v>3076</v>
      </c>
      <c r="D5" s="5">
        <v>11905</v>
      </c>
      <c r="E5" s="5">
        <v>5606</v>
      </c>
      <c r="F5" s="6">
        <v>4983</v>
      </c>
      <c r="G5" s="5">
        <v>4748</v>
      </c>
      <c r="H5" s="5">
        <v>5474</v>
      </c>
      <c r="I5" s="5">
        <v>6195</v>
      </c>
      <c r="J5" s="6">
        <v>4458</v>
      </c>
      <c r="K5" s="6">
        <v>4009</v>
      </c>
      <c r="L5" s="6">
        <v>3722</v>
      </c>
      <c r="M5" s="5">
        <v>3697</v>
      </c>
      <c r="N5" s="5">
        <v>3104</v>
      </c>
      <c r="O5" s="5">
        <v>60977</v>
      </c>
    </row>
    <row r="6" spans="1:15" ht="18.3">
      <c r="A6" s="4">
        <v>1105</v>
      </c>
      <c r="B6" s="4" t="s">
        <v>19</v>
      </c>
      <c r="C6" s="5">
        <v>6446</v>
      </c>
      <c r="D6" s="5">
        <v>16902</v>
      </c>
      <c r="E6" s="5">
        <v>7775</v>
      </c>
      <c r="F6" s="6">
        <v>2022</v>
      </c>
      <c r="G6" s="5">
        <v>214</v>
      </c>
      <c r="H6" s="5">
        <v>4608</v>
      </c>
      <c r="I6" s="5">
        <v>8379</v>
      </c>
      <c r="J6" s="6">
        <v>11489</v>
      </c>
      <c r="K6" s="6">
        <v>9495</v>
      </c>
      <c r="L6" s="6">
        <v>7627</v>
      </c>
      <c r="M6" s="5">
        <v>8454</v>
      </c>
      <c r="N6" s="5">
        <v>6036</v>
      </c>
      <c r="O6" s="5">
        <v>89447</v>
      </c>
    </row>
    <row r="7" spans="1:15" ht="18.3">
      <c r="A7" s="4">
        <v>1106</v>
      </c>
      <c r="B7" s="4" t="s">
        <v>20</v>
      </c>
      <c r="C7" s="5">
        <v>5116</v>
      </c>
      <c r="D7" s="5">
        <v>14421</v>
      </c>
      <c r="E7" s="5">
        <v>11081</v>
      </c>
      <c r="F7" s="6">
        <v>8208</v>
      </c>
      <c r="G7" s="5">
        <v>9882</v>
      </c>
      <c r="H7" s="5">
        <v>13349</v>
      </c>
      <c r="I7" s="5">
        <v>17354</v>
      </c>
      <c r="J7" s="6">
        <v>13091</v>
      </c>
      <c r="K7" s="6">
        <v>14522</v>
      </c>
      <c r="L7" s="6">
        <v>12196</v>
      </c>
      <c r="M7" s="5">
        <v>12074</v>
      </c>
      <c r="N7" s="5">
        <v>7175</v>
      </c>
      <c r="O7" s="5">
        <v>138469</v>
      </c>
    </row>
    <row r="8" spans="1:15" ht="18.3">
      <c r="A8" s="4">
        <v>1107</v>
      </c>
      <c r="B8" s="4" t="s">
        <v>21</v>
      </c>
      <c r="C8" s="5">
        <v>4148</v>
      </c>
      <c r="D8" s="5">
        <v>13204</v>
      </c>
      <c r="E8" s="5">
        <v>5960</v>
      </c>
      <c r="F8" s="6">
        <v>2277</v>
      </c>
      <c r="G8" s="5">
        <v>890</v>
      </c>
      <c r="H8" s="5">
        <v>3558</v>
      </c>
      <c r="I8" s="5">
        <v>8811</v>
      </c>
      <c r="J8" s="6">
        <v>7546</v>
      </c>
      <c r="K8" s="6">
        <v>6859</v>
      </c>
      <c r="L8" s="6">
        <v>5740</v>
      </c>
      <c r="M8" s="5">
        <v>5677</v>
      </c>
      <c r="N8" s="5">
        <v>4002</v>
      </c>
      <c r="O8" s="5">
        <v>68672</v>
      </c>
    </row>
    <row r="9" spans="1:15" ht="18.3">
      <c r="A9" s="4">
        <v>1108</v>
      </c>
      <c r="B9" s="4" t="s">
        <v>22</v>
      </c>
      <c r="C9" s="5">
        <v>6658</v>
      </c>
      <c r="D9" s="5">
        <v>16574</v>
      </c>
      <c r="E9" s="5">
        <v>8073</v>
      </c>
      <c r="F9" s="6">
        <v>9967</v>
      </c>
      <c r="G9" s="5">
        <v>4055</v>
      </c>
      <c r="H9" s="5">
        <v>177</v>
      </c>
      <c r="I9" s="5">
        <v>36</v>
      </c>
      <c r="J9" s="6">
        <v>0</v>
      </c>
      <c r="K9" s="6">
        <v>0</v>
      </c>
      <c r="L9" s="6">
        <v>0</v>
      </c>
      <c r="M9" s="5">
        <v>0</v>
      </c>
      <c r="N9" s="5">
        <v>0</v>
      </c>
      <c r="O9" s="5">
        <v>45540</v>
      </c>
    </row>
    <row r="10" spans="1:15" ht="18.3">
      <c r="A10" s="4">
        <v>1109</v>
      </c>
      <c r="B10" s="4" t="s">
        <v>23</v>
      </c>
      <c r="C10" s="5">
        <v>0</v>
      </c>
      <c r="D10" s="5">
        <v>0</v>
      </c>
      <c r="E10" s="5">
        <v>0</v>
      </c>
      <c r="F10" s="6">
        <v>0</v>
      </c>
      <c r="G10" s="5">
        <v>0</v>
      </c>
      <c r="H10" s="5">
        <v>0</v>
      </c>
      <c r="I10" s="5">
        <v>0</v>
      </c>
      <c r="J10" s="6">
        <v>0</v>
      </c>
      <c r="K10" s="6">
        <v>0</v>
      </c>
      <c r="L10" s="6">
        <v>0</v>
      </c>
      <c r="M10" s="5">
        <v>0</v>
      </c>
      <c r="N10" s="5">
        <v>0</v>
      </c>
      <c r="O10" s="5">
        <v>0</v>
      </c>
    </row>
    <row r="11" spans="1:15" ht="18.3">
      <c r="A11" s="4">
        <v>1110</v>
      </c>
      <c r="B11" s="4" t="s">
        <v>24</v>
      </c>
      <c r="C11" s="5">
        <v>3783</v>
      </c>
      <c r="D11" s="5">
        <v>9084</v>
      </c>
      <c r="E11" s="5">
        <v>4508</v>
      </c>
      <c r="F11" s="6">
        <v>4428</v>
      </c>
      <c r="G11" s="5">
        <v>4963</v>
      </c>
      <c r="H11" s="5">
        <v>6942</v>
      </c>
      <c r="I11" s="5">
        <v>7638</v>
      </c>
      <c r="J11" s="6">
        <v>6638</v>
      </c>
      <c r="K11" s="6">
        <v>5824</v>
      </c>
      <c r="L11" s="6">
        <v>5220</v>
      </c>
      <c r="M11" s="5">
        <v>3977</v>
      </c>
      <c r="N11" s="5">
        <v>3202</v>
      </c>
      <c r="O11" s="5">
        <v>66207</v>
      </c>
    </row>
    <row r="12" spans="1:15" ht="18.3">
      <c r="A12" s="4">
        <v>1111</v>
      </c>
      <c r="B12" s="4" t="s">
        <v>25</v>
      </c>
      <c r="C12" s="5">
        <v>1</v>
      </c>
      <c r="D12" s="5">
        <v>0</v>
      </c>
      <c r="E12" s="5">
        <v>0</v>
      </c>
      <c r="F12" s="6">
        <v>0</v>
      </c>
      <c r="G12" s="5">
        <v>0</v>
      </c>
      <c r="H12" s="5">
        <v>0</v>
      </c>
      <c r="I12" s="5">
        <v>0</v>
      </c>
      <c r="J12" s="6">
        <v>0</v>
      </c>
      <c r="K12" s="6">
        <v>0</v>
      </c>
      <c r="L12" s="6">
        <v>0</v>
      </c>
      <c r="M12" s="5">
        <v>0</v>
      </c>
      <c r="N12" s="5">
        <v>0</v>
      </c>
      <c r="O12" s="5">
        <v>1</v>
      </c>
    </row>
    <row r="13" spans="1:15" ht="18.3">
      <c r="A13" s="4">
        <v>1112</v>
      </c>
      <c r="B13" s="4" t="s">
        <v>26</v>
      </c>
      <c r="C13" s="5">
        <v>559</v>
      </c>
      <c r="D13" s="5">
        <v>5965</v>
      </c>
      <c r="E13" s="5">
        <v>4066</v>
      </c>
      <c r="F13" s="6">
        <v>3274</v>
      </c>
      <c r="G13" s="5">
        <v>3808</v>
      </c>
      <c r="H13" s="5">
        <v>6533</v>
      </c>
      <c r="I13" s="5">
        <v>5590</v>
      </c>
      <c r="J13" s="6">
        <v>2733</v>
      </c>
      <c r="K13" s="6">
        <v>2838</v>
      </c>
      <c r="L13" s="6">
        <v>3791</v>
      </c>
      <c r="M13" s="5">
        <v>2509</v>
      </c>
      <c r="N13" s="5">
        <v>3033</v>
      </c>
      <c r="O13" s="5">
        <v>44699</v>
      </c>
    </row>
    <row r="14" spans="1:15" ht="18.3">
      <c r="A14" s="4">
        <v>1113</v>
      </c>
      <c r="B14" s="4" t="s">
        <v>27</v>
      </c>
      <c r="C14" s="5">
        <v>205</v>
      </c>
      <c r="D14" s="5">
        <v>3623</v>
      </c>
      <c r="E14" s="5">
        <v>1190</v>
      </c>
      <c r="F14" s="6">
        <v>1295</v>
      </c>
      <c r="G14" s="5">
        <v>1155</v>
      </c>
      <c r="H14" s="5">
        <v>2337</v>
      </c>
      <c r="I14" s="5">
        <v>2488</v>
      </c>
      <c r="J14" s="6">
        <v>2159</v>
      </c>
      <c r="K14" s="6">
        <v>2166</v>
      </c>
      <c r="L14" s="6">
        <v>1825</v>
      </c>
      <c r="M14" s="5">
        <v>2072</v>
      </c>
      <c r="N14" s="5">
        <v>1315</v>
      </c>
      <c r="O14" s="5">
        <v>21830</v>
      </c>
    </row>
    <row r="15" spans="1:15" ht="18.3">
      <c r="A15" s="4">
        <v>1114</v>
      </c>
      <c r="B15" s="4" t="s">
        <v>28</v>
      </c>
      <c r="C15" s="5">
        <v>150</v>
      </c>
      <c r="D15" s="5">
        <v>4272</v>
      </c>
      <c r="E15" s="5">
        <v>1043</v>
      </c>
      <c r="F15" s="6">
        <v>1103</v>
      </c>
      <c r="G15" s="5">
        <v>1045</v>
      </c>
      <c r="H15" s="5">
        <v>1948</v>
      </c>
      <c r="I15" s="5">
        <v>2355</v>
      </c>
      <c r="J15" s="6">
        <v>1975</v>
      </c>
      <c r="K15" s="6">
        <v>2172</v>
      </c>
      <c r="L15" s="6">
        <v>2302</v>
      </c>
      <c r="M15" s="5">
        <v>1660</v>
      </c>
      <c r="N15" s="5">
        <v>1191</v>
      </c>
      <c r="O15" s="5">
        <v>21216</v>
      </c>
    </row>
    <row r="16" spans="1:15" ht="18.3">
      <c r="A16" s="4">
        <v>1115</v>
      </c>
      <c r="B16" s="4" t="s">
        <v>29</v>
      </c>
      <c r="C16" s="5">
        <v>2934</v>
      </c>
      <c r="D16" s="5">
        <v>16589</v>
      </c>
      <c r="E16" s="5">
        <v>6469</v>
      </c>
      <c r="F16" s="6">
        <v>6292</v>
      </c>
      <c r="G16" s="5">
        <v>9073</v>
      </c>
      <c r="H16" s="5">
        <v>11242</v>
      </c>
      <c r="I16" s="5">
        <v>17363</v>
      </c>
      <c r="J16" s="6">
        <v>14021</v>
      </c>
      <c r="K16" s="6">
        <v>12410</v>
      </c>
      <c r="L16" s="6">
        <v>10992</v>
      </c>
      <c r="M16" s="5">
        <v>9967</v>
      </c>
      <c r="N16" s="5">
        <v>7985</v>
      </c>
      <c r="O16" s="5">
        <v>125337</v>
      </c>
    </row>
    <row r="17" spans="1:16" ht="18.3">
      <c r="A17" s="4">
        <v>1116</v>
      </c>
      <c r="B17" s="4" t="s">
        <v>30</v>
      </c>
      <c r="C17" s="5">
        <v>0</v>
      </c>
      <c r="D17" s="5">
        <v>0</v>
      </c>
      <c r="E17" s="5">
        <v>0</v>
      </c>
      <c r="F17" s="6">
        <v>0</v>
      </c>
      <c r="G17" s="5">
        <v>0</v>
      </c>
      <c r="H17" s="5">
        <v>0</v>
      </c>
      <c r="I17" s="5">
        <v>0</v>
      </c>
      <c r="J17" s="6">
        <v>0</v>
      </c>
      <c r="K17" s="6">
        <v>0</v>
      </c>
      <c r="L17" s="6">
        <v>0</v>
      </c>
      <c r="M17" s="5">
        <v>0</v>
      </c>
      <c r="N17" s="5">
        <v>0</v>
      </c>
      <c r="O17" s="5">
        <v>0</v>
      </c>
    </row>
    <row r="18" spans="1:16" ht="18.3">
      <c r="A18" s="4">
        <v>1117</v>
      </c>
      <c r="B18" s="4" t="s">
        <v>31</v>
      </c>
      <c r="C18" s="5">
        <v>0</v>
      </c>
      <c r="D18" s="5">
        <v>0</v>
      </c>
      <c r="E18" s="5">
        <v>0</v>
      </c>
      <c r="F18" s="6">
        <v>0</v>
      </c>
      <c r="G18" s="5">
        <v>0</v>
      </c>
      <c r="H18" s="5">
        <v>0</v>
      </c>
      <c r="I18" s="5">
        <v>0</v>
      </c>
      <c r="J18" s="6">
        <v>0</v>
      </c>
      <c r="K18" s="6">
        <v>0</v>
      </c>
      <c r="L18" s="6">
        <v>0</v>
      </c>
      <c r="M18" s="5">
        <v>0</v>
      </c>
      <c r="N18" s="5">
        <v>0</v>
      </c>
      <c r="O18" s="5">
        <v>0</v>
      </c>
    </row>
    <row r="19" spans="1:16" ht="18.3">
      <c r="A19" s="4">
        <v>1118</v>
      </c>
      <c r="B19" s="4" t="s">
        <v>32</v>
      </c>
      <c r="C19" s="5">
        <v>1403</v>
      </c>
      <c r="D19" s="5">
        <v>3557</v>
      </c>
      <c r="E19" s="5">
        <v>1919</v>
      </c>
      <c r="F19" s="6">
        <v>1880</v>
      </c>
      <c r="G19" s="5">
        <v>2005</v>
      </c>
      <c r="H19" s="5">
        <v>2358</v>
      </c>
      <c r="I19" s="5">
        <v>2870</v>
      </c>
      <c r="J19" s="6">
        <v>1594</v>
      </c>
      <c r="K19" s="6">
        <v>506</v>
      </c>
      <c r="L19" s="6">
        <v>1312</v>
      </c>
      <c r="M19" s="5">
        <v>1385</v>
      </c>
      <c r="N19" s="5">
        <v>1150</v>
      </c>
      <c r="O19" s="5">
        <v>21939</v>
      </c>
    </row>
    <row r="20" spans="1:16" ht="18.3">
      <c r="A20" s="4">
        <v>1119</v>
      </c>
      <c r="B20" s="4" t="s">
        <v>33</v>
      </c>
      <c r="C20" s="5"/>
      <c r="D20" s="5"/>
      <c r="E20" s="5"/>
      <c r="F20" s="6">
        <v>177</v>
      </c>
      <c r="G20" s="5">
        <v>2958</v>
      </c>
      <c r="H20" s="5">
        <v>7683</v>
      </c>
      <c r="I20" s="5">
        <v>15342</v>
      </c>
      <c r="J20" s="6">
        <v>14272</v>
      </c>
      <c r="K20" s="6">
        <v>11659</v>
      </c>
      <c r="L20" s="6">
        <v>11219</v>
      </c>
      <c r="M20" s="5">
        <v>9645</v>
      </c>
      <c r="N20" s="5">
        <v>9950</v>
      </c>
      <c r="O20" s="5">
        <v>82905</v>
      </c>
    </row>
    <row r="21" spans="1:16" ht="18.3">
      <c r="A21" s="4">
        <v>1122</v>
      </c>
      <c r="B21" s="4" t="s">
        <v>34</v>
      </c>
      <c r="C21" s="5">
        <v>2515</v>
      </c>
      <c r="D21" s="5">
        <v>1215</v>
      </c>
      <c r="E21" s="5">
        <v>6224</v>
      </c>
      <c r="F21" s="6">
        <v>5186</v>
      </c>
      <c r="G21" s="5">
        <v>4577</v>
      </c>
      <c r="H21" s="5">
        <v>9455</v>
      </c>
      <c r="I21" s="5">
        <v>7663</v>
      </c>
      <c r="J21" s="6">
        <v>9063</v>
      </c>
      <c r="K21" s="6">
        <v>6468</v>
      </c>
      <c r="L21" s="6">
        <v>7361</v>
      </c>
      <c r="M21" s="5">
        <v>7658</v>
      </c>
      <c r="N21" s="5">
        <v>4933</v>
      </c>
      <c r="O21" s="5">
        <v>72318</v>
      </c>
    </row>
    <row r="22" spans="1:16" ht="18.3">
      <c r="A22" s="4">
        <v>1123</v>
      </c>
      <c r="B22" s="4" t="s">
        <v>35</v>
      </c>
      <c r="C22" s="5">
        <v>3758</v>
      </c>
      <c r="D22" s="5">
        <v>8405</v>
      </c>
      <c r="E22" s="5">
        <v>3299</v>
      </c>
      <c r="F22" s="6">
        <v>3158</v>
      </c>
      <c r="G22" s="5">
        <v>2689</v>
      </c>
      <c r="H22" s="5">
        <v>5814</v>
      </c>
      <c r="I22" s="5">
        <v>5714</v>
      </c>
      <c r="J22" s="6">
        <v>5625</v>
      </c>
      <c r="K22" s="6">
        <v>4136</v>
      </c>
      <c r="L22" s="6">
        <v>771</v>
      </c>
      <c r="M22" s="5">
        <v>3890</v>
      </c>
      <c r="N22" s="5">
        <v>3234</v>
      </c>
      <c r="O22" s="5">
        <v>50493</v>
      </c>
    </row>
    <row r="23" spans="1:16" ht="18.3">
      <c r="A23" s="4">
        <v>1124</v>
      </c>
      <c r="B23" s="4" t="s">
        <v>36</v>
      </c>
      <c r="C23" s="5"/>
      <c r="D23" s="5"/>
      <c r="E23" s="5"/>
      <c r="F23" s="6">
        <v>646</v>
      </c>
      <c r="G23" s="5">
        <v>186</v>
      </c>
      <c r="H23" s="5">
        <v>27</v>
      </c>
      <c r="I23" s="5">
        <v>1</v>
      </c>
      <c r="J23" s="6">
        <v>2</v>
      </c>
      <c r="K23" s="6">
        <v>0</v>
      </c>
      <c r="L23" s="6">
        <v>0</v>
      </c>
      <c r="M23" s="5">
        <v>0</v>
      </c>
      <c r="N23" s="5">
        <v>0</v>
      </c>
      <c r="O23" s="5">
        <v>862</v>
      </c>
    </row>
    <row r="24" spans="1:16" ht="18.3">
      <c r="A24" s="4">
        <v>1125</v>
      </c>
      <c r="B24" s="4" t="s">
        <v>37</v>
      </c>
      <c r="C24" s="5"/>
      <c r="D24" s="5"/>
      <c r="E24" s="5"/>
      <c r="F24" s="6"/>
      <c r="G24" s="5"/>
      <c r="H24" s="5">
        <v>0</v>
      </c>
      <c r="I24" s="5">
        <v>6719</v>
      </c>
      <c r="J24" s="6">
        <v>19722</v>
      </c>
      <c r="K24" s="6">
        <v>11256</v>
      </c>
      <c r="L24" s="6">
        <v>8385</v>
      </c>
      <c r="M24" s="5">
        <v>8941</v>
      </c>
      <c r="N24" s="5">
        <v>6867</v>
      </c>
      <c r="O24" s="5">
        <v>61890</v>
      </c>
      <c r="P24" s="5">
        <v>10315</v>
      </c>
    </row>
    <row r="25" spans="1:16" ht="18.3">
      <c r="A25" s="4">
        <v>1126</v>
      </c>
      <c r="B25" s="4" t="s">
        <v>38</v>
      </c>
      <c r="C25" s="5"/>
      <c r="D25" s="5"/>
      <c r="E25" s="5"/>
      <c r="F25" s="6"/>
      <c r="G25" s="5"/>
      <c r="H25" s="5">
        <v>0</v>
      </c>
      <c r="I25" s="5">
        <v>8231</v>
      </c>
      <c r="J25" s="6">
        <v>22631</v>
      </c>
      <c r="K25" s="6">
        <v>9657</v>
      </c>
      <c r="L25" s="6">
        <v>8153</v>
      </c>
      <c r="M25" s="5">
        <v>11049</v>
      </c>
      <c r="N25" s="5">
        <v>7107</v>
      </c>
      <c r="O25" s="5">
        <v>66828</v>
      </c>
      <c r="P25" s="5">
        <v>11138</v>
      </c>
    </row>
    <row r="26" spans="1:16" ht="18.3">
      <c r="A26" s="4">
        <v>1127</v>
      </c>
      <c r="B26" s="4" t="s">
        <v>39</v>
      </c>
      <c r="C26" s="5"/>
      <c r="D26" s="5"/>
      <c r="E26" s="5"/>
      <c r="F26" s="6"/>
      <c r="G26" s="5"/>
      <c r="H26" s="5">
        <v>0</v>
      </c>
      <c r="I26" s="5">
        <v>7314</v>
      </c>
      <c r="J26" s="6">
        <v>18652</v>
      </c>
      <c r="K26" s="6">
        <v>9895</v>
      </c>
      <c r="L26" s="6">
        <v>9989</v>
      </c>
      <c r="M26" s="5">
        <v>7423</v>
      </c>
      <c r="N26" s="5">
        <v>5251</v>
      </c>
      <c r="O26" s="5">
        <v>58524</v>
      </c>
      <c r="P26" s="5">
        <v>9754</v>
      </c>
    </row>
    <row r="27" spans="1:16" ht="18.3">
      <c r="A27" s="4">
        <v>1201</v>
      </c>
      <c r="B27" s="4" t="s">
        <v>40</v>
      </c>
      <c r="C27" s="5">
        <v>3109</v>
      </c>
      <c r="D27" s="5">
        <v>9892</v>
      </c>
      <c r="E27" s="5">
        <v>5227</v>
      </c>
      <c r="F27" s="6">
        <v>4554</v>
      </c>
      <c r="G27" s="5">
        <v>4196</v>
      </c>
      <c r="H27" s="5">
        <v>6894</v>
      </c>
      <c r="I27" s="5">
        <v>8089</v>
      </c>
      <c r="J27" s="6">
        <v>5622</v>
      </c>
      <c r="K27" s="6">
        <v>4549</v>
      </c>
      <c r="L27" s="6">
        <v>4811</v>
      </c>
      <c r="M27" s="5">
        <v>4119</v>
      </c>
      <c r="N27" s="5">
        <v>2849</v>
      </c>
      <c r="O27" s="5">
        <v>63911</v>
      </c>
    </row>
    <row r="28" spans="1:16" ht="18.3">
      <c r="A28" s="4">
        <v>1202</v>
      </c>
      <c r="B28" s="4" t="s">
        <v>41</v>
      </c>
      <c r="C28" s="5">
        <v>781</v>
      </c>
      <c r="D28" s="5">
        <v>2049</v>
      </c>
      <c r="E28" s="5">
        <v>1257</v>
      </c>
      <c r="F28" s="6">
        <v>1174</v>
      </c>
      <c r="G28" s="5">
        <v>1319</v>
      </c>
      <c r="H28" s="5">
        <v>2047</v>
      </c>
      <c r="I28" s="5">
        <v>2310</v>
      </c>
      <c r="J28" s="6">
        <v>966</v>
      </c>
      <c r="K28" s="6">
        <v>268</v>
      </c>
      <c r="L28" s="6">
        <v>1109</v>
      </c>
      <c r="M28" s="5">
        <v>1178</v>
      </c>
      <c r="N28" s="5">
        <v>987</v>
      </c>
      <c r="O28" s="5">
        <v>15445</v>
      </c>
    </row>
    <row r="29" spans="1:16" ht="18.3">
      <c r="A29" s="4">
        <v>1203</v>
      </c>
      <c r="B29" s="4" t="s">
        <v>42</v>
      </c>
      <c r="C29" s="5">
        <v>772</v>
      </c>
      <c r="D29" s="5">
        <v>2156</v>
      </c>
      <c r="E29" s="5">
        <v>948</v>
      </c>
      <c r="F29" s="6">
        <v>963</v>
      </c>
      <c r="G29" s="5">
        <v>2636</v>
      </c>
      <c r="H29" s="5">
        <v>1649</v>
      </c>
      <c r="I29" s="5">
        <v>2043</v>
      </c>
      <c r="J29" s="6">
        <v>924</v>
      </c>
      <c r="K29" s="6">
        <v>295</v>
      </c>
      <c r="L29" s="6">
        <v>1139</v>
      </c>
      <c r="M29" s="5">
        <v>1081</v>
      </c>
      <c r="N29" s="5">
        <v>783</v>
      </c>
      <c r="O29" s="5">
        <v>15389</v>
      </c>
    </row>
    <row r="30" spans="1:16" ht="18.3">
      <c r="A30" s="4">
        <v>1204</v>
      </c>
      <c r="B30" s="4" t="s">
        <v>43</v>
      </c>
      <c r="C30" s="5">
        <v>3659</v>
      </c>
      <c r="D30" s="5">
        <v>8193</v>
      </c>
      <c r="E30" s="5">
        <v>3900</v>
      </c>
      <c r="F30" s="6">
        <v>4536</v>
      </c>
      <c r="G30" s="5">
        <v>3449</v>
      </c>
      <c r="H30" s="5">
        <v>5043</v>
      </c>
      <c r="I30" s="5">
        <v>6241</v>
      </c>
      <c r="J30" s="6">
        <v>4445</v>
      </c>
      <c r="K30" s="6">
        <v>3334</v>
      </c>
      <c r="L30" s="6">
        <v>3608</v>
      </c>
      <c r="M30" s="5">
        <v>3878</v>
      </c>
      <c r="N30" s="5">
        <v>3398</v>
      </c>
      <c r="O30" s="5">
        <v>53684</v>
      </c>
    </row>
    <row r="31" spans="1:16" ht="18.3">
      <c r="A31" s="4">
        <v>1205</v>
      </c>
      <c r="B31" s="4" t="s">
        <v>44</v>
      </c>
      <c r="C31" s="5">
        <v>13271</v>
      </c>
      <c r="D31" s="5">
        <v>30104</v>
      </c>
      <c r="E31" s="5">
        <v>20250</v>
      </c>
      <c r="F31" s="6">
        <v>15321</v>
      </c>
      <c r="G31" s="5">
        <v>11162</v>
      </c>
      <c r="H31" s="5">
        <v>25101</v>
      </c>
      <c r="I31" s="5">
        <v>30377</v>
      </c>
      <c r="J31" s="6">
        <v>22920</v>
      </c>
      <c r="K31" s="6">
        <v>15753</v>
      </c>
      <c r="L31" s="6">
        <v>17652</v>
      </c>
      <c r="M31" s="5">
        <v>17377</v>
      </c>
      <c r="N31" s="5">
        <v>14943</v>
      </c>
      <c r="O31" s="5">
        <v>234231</v>
      </c>
    </row>
    <row r="32" spans="1:16" ht="18.3">
      <c r="A32" s="4">
        <v>1206</v>
      </c>
      <c r="B32" s="4" t="s">
        <v>45</v>
      </c>
      <c r="C32" s="5">
        <v>8254</v>
      </c>
      <c r="D32" s="5">
        <v>20500</v>
      </c>
      <c r="E32" s="5">
        <v>9384</v>
      </c>
      <c r="F32" s="6">
        <v>3251</v>
      </c>
      <c r="G32" s="5">
        <v>574</v>
      </c>
      <c r="H32" s="5">
        <v>7546</v>
      </c>
      <c r="I32" s="5">
        <v>14529</v>
      </c>
      <c r="J32" s="6">
        <v>15725</v>
      </c>
      <c r="K32" s="6">
        <v>11923</v>
      </c>
      <c r="L32" s="6">
        <v>11335</v>
      </c>
      <c r="M32" s="5">
        <v>12881</v>
      </c>
      <c r="N32" s="5">
        <v>11822</v>
      </c>
      <c r="O32" s="5">
        <v>127724</v>
      </c>
    </row>
    <row r="33" spans="1:15" ht="18.3">
      <c r="A33" s="4">
        <v>1207</v>
      </c>
      <c r="B33" s="4" t="s">
        <v>46</v>
      </c>
      <c r="C33" s="5">
        <v>11188</v>
      </c>
      <c r="D33" s="5">
        <v>20119</v>
      </c>
      <c r="E33" s="5">
        <v>11758</v>
      </c>
      <c r="F33" s="6">
        <v>10597</v>
      </c>
      <c r="G33" s="5">
        <v>11442</v>
      </c>
      <c r="H33" s="5">
        <v>19529</v>
      </c>
      <c r="I33" s="5">
        <v>19941</v>
      </c>
      <c r="J33" s="6">
        <v>16229</v>
      </c>
      <c r="K33" s="6">
        <v>13862</v>
      </c>
      <c r="L33" s="6">
        <v>13199</v>
      </c>
      <c r="M33" s="5">
        <v>10611</v>
      </c>
      <c r="N33" s="5">
        <v>9016</v>
      </c>
      <c r="O33" s="5">
        <v>167491</v>
      </c>
    </row>
    <row r="34" spans="1:15" ht="18.3">
      <c r="A34" s="4">
        <v>1208</v>
      </c>
      <c r="B34" s="4" t="s">
        <v>47</v>
      </c>
      <c r="C34" s="5">
        <v>2373</v>
      </c>
      <c r="D34" s="5">
        <v>8237</v>
      </c>
      <c r="E34" s="5">
        <v>3524</v>
      </c>
      <c r="F34" s="6">
        <v>2458</v>
      </c>
      <c r="G34" s="5">
        <v>500</v>
      </c>
      <c r="H34" s="5">
        <v>2432</v>
      </c>
      <c r="I34" s="5">
        <v>5805</v>
      </c>
      <c r="J34" s="6">
        <v>8293</v>
      </c>
      <c r="K34" s="6">
        <v>6521</v>
      </c>
      <c r="L34" s="6">
        <v>6148</v>
      </c>
      <c r="M34" s="5">
        <v>4425</v>
      </c>
      <c r="N34" s="5">
        <v>5282</v>
      </c>
      <c r="O34" s="5">
        <v>55998</v>
      </c>
    </row>
    <row r="35" spans="1:15" ht="18.3">
      <c r="A35" s="4">
        <v>1209</v>
      </c>
      <c r="B35" s="4" t="s">
        <v>48</v>
      </c>
      <c r="C35" s="5">
        <v>3717</v>
      </c>
      <c r="D35" s="5">
        <v>9507</v>
      </c>
      <c r="E35" s="5">
        <v>7385</v>
      </c>
      <c r="F35" s="6">
        <v>5033</v>
      </c>
      <c r="G35" s="5">
        <v>3990</v>
      </c>
      <c r="H35" s="5">
        <v>9346</v>
      </c>
      <c r="I35" s="5">
        <v>10560</v>
      </c>
      <c r="J35" s="6">
        <v>7198</v>
      </c>
      <c r="K35" s="6">
        <v>7772</v>
      </c>
      <c r="L35" s="6">
        <v>8125</v>
      </c>
      <c r="M35" s="5">
        <v>6888</v>
      </c>
      <c r="N35" s="5">
        <v>4387</v>
      </c>
      <c r="O35" s="5">
        <v>83908</v>
      </c>
    </row>
    <row r="36" spans="1:15" ht="18.3">
      <c r="A36" s="4">
        <v>1210</v>
      </c>
      <c r="B36" s="4" t="s">
        <v>49</v>
      </c>
      <c r="C36" s="5">
        <v>0</v>
      </c>
      <c r="D36" s="5">
        <v>0</v>
      </c>
      <c r="E36" s="5">
        <v>0</v>
      </c>
      <c r="F36" s="6">
        <v>0</v>
      </c>
      <c r="G36" s="5">
        <v>0</v>
      </c>
      <c r="H36" s="5">
        <v>0</v>
      </c>
      <c r="I36" s="5">
        <v>0</v>
      </c>
      <c r="J36" s="6">
        <v>0</v>
      </c>
      <c r="K36" s="6">
        <v>0</v>
      </c>
      <c r="L36" s="6">
        <v>0</v>
      </c>
      <c r="M36" s="5">
        <v>0</v>
      </c>
      <c r="N36" s="5">
        <v>0</v>
      </c>
      <c r="O36" s="5">
        <v>0</v>
      </c>
    </row>
    <row r="37" spans="1:15" ht="18.3">
      <c r="A37" s="4">
        <v>1211</v>
      </c>
      <c r="B37" s="4" t="s">
        <v>50</v>
      </c>
      <c r="C37" s="5">
        <v>0</v>
      </c>
      <c r="D37" s="5">
        <v>0</v>
      </c>
      <c r="E37" s="5">
        <v>0</v>
      </c>
      <c r="F37" s="6">
        <v>0</v>
      </c>
      <c r="G37" s="5">
        <v>0</v>
      </c>
      <c r="H37" s="5">
        <v>0</v>
      </c>
      <c r="I37" s="5">
        <v>0</v>
      </c>
      <c r="J37" s="6">
        <v>0</v>
      </c>
      <c r="K37" s="6">
        <v>0</v>
      </c>
      <c r="L37" s="6">
        <v>0</v>
      </c>
      <c r="M37" s="5">
        <v>0</v>
      </c>
      <c r="N37" s="5">
        <v>0</v>
      </c>
      <c r="O37" s="5">
        <v>0</v>
      </c>
    </row>
    <row r="38" spans="1:15" ht="18.3">
      <c r="A38" s="4">
        <v>1212</v>
      </c>
      <c r="B38" s="4" t="s">
        <v>51</v>
      </c>
      <c r="C38" s="5">
        <v>0</v>
      </c>
      <c r="D38" s="5">
        <v>0</v>
      </c>
      <c r="E38" s="5">
        <v>0</v>
      </c>
      <c r="F38" s="6">
        <v>0</v>
      </c>
      <c r="G38" s="5">
        <v>0</v>
      </c>
      <c r="H38" s="5">
        <v>0</v>
      </c>
      <c r="I38" s="5">
        <v>0</v>
      </c>
      <c r="J38" s="6">
        <v>0</v>
      </c>
      <c r="K38" s="6">
        <v>0</v>
      </c>
      <c r="L38" s="6">
        <v>0</v>
      </c>
      <c r="M38" s="5">
        <v>0</v>
      </c>
      <c r="N38" s="5">
        <v>0</v>
      </c>
      <c r="O38" s="5">
        <v>0</v>
      </c>
    </row>
    <row r="39" spans="1:15" ht="18.3">
      <c r="A39" s="4">
        <v>1213</v>
      </c>
      <c r="B39" s="4" t="s">
        <v>52</v>
      </c>
      <c r="C39" s="5">
        <v>0</v>
      </c>
      <c r="D39" s="5">
        <v>0</v>
      </c>
      <c r="E39" s="5">
        <v>0</v>
      </c>
      <c r="F39" s="6">
        <v>0</v>
      </c>
      <c r="G39" s="5">
        <v>0</v>
      </c>
      <c r="H39" s="5">
        <v>0</v>
      </c>
      <c r="I39" s="5">
        <v>0</v>
      </c>
      <c r="J39" s="6">
        <v>0</v>
      </c>
      <c r="K39" s="6">
        <v>0</v>
      </c>
      <c r="L39" s="6">
        <v>0</v>
      </c>
      <c r="M39" s="5">
        <v>0</v>
      </c>
      <c r="N39" s="5">
        <v>0</v>
      </c>
      <c r="O39" s="5">
        <v>0</v>
      </c>
    </row>
    <row r="40" spans="1:15" ht="18.3">
      <c r="A40" s="4">
        <v>1214</v>
      </c>
      <c r="B40" s="4" t="s">
        <v>53</v>
      </c>
      <c r="C40" s="5">
        <v>0</v>
      </c>
      <c r="D40" s="5">
        <v>0</v>
      </c>
      <c r="E40" s="5">
        <v>0</v>
      </c>
      <c r="F40" s="6">
        <v>0</v>
      </c>
      <c r="G40" s="5">
        <v>0</v>
      </c>
      <c r="H40" s="5">
        <v>0</v>
      </c>
      <c r="I40" s="5">
        <v>0</v>
      </c>
      <c r="J40" s="6">
        <v>0</v>
      </c>
      <c r="K40" s="6">
        <v>0</v>
      </c>
      <c r="L40" s="6">
        <v>0</v>
      </c>
      <c r="M40" s="5">
        <v>0</v>
      </c>
      <c r="N40" s="5">
        <v>0</v>
      </c>
      <c r="O40" s="5">
        <v>0</v>
      </c>
    </row>
    <row r="41" spans="1:15" ht="18.3">
      <c r="A41" s="4">
        <v>1215</v>
      </c>
      <c r="B41" s="4" t="s">
        <v>54</v>
      </c>
      <c r="C41" s="5">
        <v>0</v>
      </c>
      <c r="D41" s="5">
        <v>0</v>
      </c>
      <c r="E41" s="5">
        <v>0</v>
      </c>
      <c r="F41" s="6">
        <v>0</v>
      </c>
      <c r="G41" s="5">
        <v>0</v>
      </c>
      <c r="H41" s="5">
        <v>0</v>
      </c>
      <c r="I41" s="5">
        <v>0</v>
      </c>
      <c r="J41" s="6">
        <v>0</v>
      </c>
      <c r="K41" s="6">
        <v>0</v>
      </c>
      <c r="L41" s="6">
        <v>0</v>
      </c>
      <c r="M41" s="5">
        <v>0</v>
      </c>
      <c r="N41" s="5">
        <v>0</v>
      </c>
      <c r="O41" s="5">
        <v>0</v>
      </c>
    </row>
    <row r="42" spans="1:15" ht="18.3">
      <c r="A42" s="4">
        <v>1216</v>
      </c>
      <c r="B42" s="4" t="s">
        <v>55</v>
      </c>
      <c r="C42" s="5">
        <v>0</v>
      </c>
      <c r="D42" s="5">
        <v>0</v>
      </c>
      <c r="E42" s="5">
        <v>0</v>
      </c>
      <c r="F42" s="6">
        <v>0</v>
      </c>
      <c r="G42" s="5">
        <v>0</v>
      </c>
      <c r="H42" s="5">
        <v>0</v>
      </c>
      <c r="I42" s="5">
        <v>0</v>
      </c>
      <c r="J42" s="6">
        <v>0</v>
      </c>
      <c r="K42" s="6">
        <v>0</v>
      </c>
      <c r="L42" s="6">
        <v>0</v>
      </c>
      <c r="M42" s="5">
        <v>0</v>
      </c>
      <c r="N42" s="5">
        <v>0</v>
      </c>
      <c r="O42" s="5">
        <v>0</v>
      </c>
    </row>
    <row r="43" spans="1:15" ht="18.3">
      <c r="A43" s="4">
        <v>1217</v>
      </c>
      <c r="B43" s="4" t="s">
        <v>56</v>
      </c>
      <c r="C43" s="5">
        <v>1080</v>
      </c>
      <c r="D43" s="5">
        <v>3279</v>
      </c>
      <c r="E43" s="5">
        <v>2009</v>
      </c>
      <c r="F43" s="6">
        <v>2152</v>
      </c>
      <c r="G43" s="5">
        <v>1657</v>
      </c>
      <c r="H43" s="5">
        <v>2952</v>
      </c>
      <c r="I43" s="5">
        <v>3047</v>
      </c>
      <c r="J43" s="6">
        <v>1838</v>
      </c>
      <c r="K43" s="6">
        <v>637</v>
      </c>
      <c r="L43" s="6">
        <v>1932</v>
      </c>
      <c r="M43" s="5">
        <v>1698</v>
      </c>
      <c r="N43" s="5">
        <v>1521</v>
      </c>
      <c r="O43" s="5">
        <v>23802</v>
      </c>
    </row>
    <row r="44" spans="1:15" ht="18.3">
      <c r="A44" s="4">
        <v>1218</v>
      </c>
      <c r="B44" s="4" t="s">
        <v>57</v>
      </c>
      <c r="C44" s="5">
        <v>1321</v>
      </c>
      <c r="D44" s="5">
        <v>3906</v>
      </c>
      <c r="E44" s="5">
        <v>1763</v>
      </c>
      <c r="F44" s="6">
        <v>1998</v>
      </c>
      <c r="G44" s="5">
        <v>1342</v>
      </c>
      <c r="H44" s="5">
        <v>2330</v>
      </c>
      <c r="I44" s="5">
        <v>3844</v>
      </c>
      <c r="J44" s="6">
        <v>4165</v>
      </c>
      <c r="K44" s="6">
        <v>3443</v>
      </c>
      <c r="L44" s="6">
        <v>3056</v>
      </c>
      <c r="M44" s="5">
        <v>3033</v>
      </c>
      <c r="N44" s="5">
        <v>2659</v>
      </c>
      <c r="O44" s="5">
        <v>32860</v>
      </c>
    </row>
    <row r="45" spans="1:15" ht="18.3">
      <c r="A45" s="4">
        <v>1219</v>
      </c>
      <c r="B45" s="4" t="s">
        <v>58</v>
      </c>
      <c r="C45" s="5">
        <v>5620</v>
      </c>
      <c r="D45" s="5">
        <v>13555</v>
      </c>
      <c r="E45" s="5">
        <v>6761</v>
      </c>
      <c r="F45" s="6">
        <v>11657</v>
      </c>
      <c r="G45" s="5">
        <v>3531</v>
      </c>
      <c r="H45" s="5">
        <v>6322</v>
      </c>
      <c r="I45" s="5">
        <v>7565</v>
      </c>
      <c r="J45" s="6">
        <v>4576</v>
      </c>
      <c r="K45" s="6">
        <v>4585</v>
      </c>
      <c r="L45" s="6">
        <v>6072</v>
      </c>
      <c r="M45" s="5">
        <v>4259</v>
      </c>
      <c r="N45" s="5">
        <v>3857</v>
      </c>
      <c r="O45" s="5">
        <v>78360</v>
      </c>
    </row>
    <row r="46" spans="1:15" ht="18.3">
      <c r="A46" s="4">
        <v>1220</v>
      </c>
      <c r="B46" s="4" t="s">
        <v>59</v>
      </c>
      <c r="C46" s="5">
        <v>0</v>
      </c>
      <c r="D46" s="5">
        <v>0</v>
      </c>
      <c r="E46" s="5">
        <v>0</v>
      </c>
      <c r="F46" s="6">
        <v>0</v>
      </c>
      <c r="G46" s="5">
        <v>0</v>
      </c>
      <c r="H46" s="5">
        <v>0</v>
      </c>
      <c r="I46" s="5">
        <v>0</v>
      </c>
      <c r="J46" s="6">
        <v>0</v>
      </c>
      <c r="K46" s="6">
        <v>0</v>
      </c>
      <c r="L46" s="6">
        <v>0</v>
      </c>
      <c r="M46" s="5">
        <v>0</v>
      </c>
      <c r="N46" s="5">
        <v>0</v>
      </c>
      <c r="O46" s="5">
        <v>0</v>
      </c>
    </row>
    <row r="47" spans="1:15" ht="18.3">
      <c r="A47" s="4">
        <v>1221</v>
      </c>
      <c r="B47" s="4" t="s">
        <v>60</v>
      </c>
      <c r="C47" s="5">
        <v>0</v>
      </c>
      <c r="D47" s="5">
        <v>0</v>
      </c>
      <c r="E47" s="5">
        <v>0</v>
      </c>
      <c r="F47" s="6">
        <v>0</v>
      </c>
      <c r="G47" s="5">
        <v>0</v>
      </c>
      <c r="H47" s="5">
        <v>0</v>
      </c>
      <c r="I47" s="5">
        <v>0</v>
      </c>
      <c r="J47" s="6">
        <v>0</v>
      </c>
      <c r="K47" s="6">
        <v>0</v>
      </c>
      <c r="L47" s="6">
        <v>0</v>
      </c>
      <c r="M47" s="5">
        <v>0</v>
      </c>
      <c r="N47" s="5">
        <v>0</v>
      </c>
      <c r="O47" s="5">
        <v>0</v>
      </c>
    </row>
    <row r="48" spans="1:15" ht="18.3">
      <c r="A48" s="4">
        <v>1222</v>
      </c>
      <c r="B48" s="4" t="s">
        <v>61</v>
      </c>
      <c r="C48" s="5">
        <v>1945</v>
      </c>
      <c r="D48" s="5">
        <v>3730</v>
      </c>
      <c r="E48" s="5">
        <v>2166</v>
      </c>
      <c r="F48" s="6">
        <v>2003</v>
      </c>
      <c r="G48" s="5">
        <v>1629</v>
      </c>
      <c r="H48" s="5">
        <v>3242</v>
      </c>
      <c r="I48" s="5">
        <v>2953</v>
      </c>
      <c r="J48" s="6">
        <v>2642</v>
      </c>
      <c r="K48" s="6">
        <v>2137</v>
      </c>
      <c r="L48" s="6">
        <v>2352</v>
      </c>
      <c r="M48" s="5">
        <v>2902</v>
      </c>
      <c r="N48" s="5">
        <v>1626</v>
      </c>
      <c r="O48" s="5">
        <v>29327</v>
      </c>
    </row>
    <row r="49" spans="1:15" ht="18.3">
      <c r="A49" s="4">
        <v>1223</v>
      </c>
      <c r="B49" s="4" t="s">
        <v>62</v>
      </c>
      <c r="C49" s="5">
        <v>2849</v>
      </c>
      <c r="D49" s="5">
        <v>5809</v>
      </c>
      <c r="E49" s="5">
        <v>2823</v>
      </c>
      <c r="F49" s="6">
        <v>3517</v>
      </c>
      <c r="G49" s="5">
        <v>3233</v>
      </c>
      <c r="H49" s="5">
        <v>5154</v>
      </c>
      <c r="I49" s="5">
        <v>4346</v>
      </c>
      <c r="J49" s="6">
        <v>4127</v>
      </c>
      <c r="K49" s="6">
        <v>3109</v>
      </c>
      <c r="L49" s="6">
        <v>3433</v>
      </c>
      <c r="M49" s="5">
        <v>3509</v>
      </c>
      <c r="N49" s="5">
        <v>2527</v>
      </c>
      <c r="O49" s="5">
        <v>44436</v>
      </c>
    </row>
    <row r="50" spans="1:15" ht="18.3">
      <c r="A50" s="4">
        <v>1224</v>
      </c>
      <c r="B50" s="4" t="s">
        <v>63</v>
      </c>
      <c r="C50" s="5">
        <v>2222</v>
      </c>
      <c r="D50" s="5">
        <v>4691</v>
      </c>
      <c r="E50" s="5">
        <v>2726</v>
      </c>
      <c r="F50" s="6">
        <v>2788</v>
      </c>
      <c r="G50" s="5">
        <v>2035</v>
      </c>
      <c r="H50" s="5">
        <v>3756</v>
      </c>
      <c r="I50" s="5">
        <v>3994</v>
      </c>
      <c r="J50" s="6">
        <v>4269</v>
      </c>
      <c r="K50" s="6">
        <v>2280</v>
      </c>
      <c r="L50" s="6">
        <v>2552</v>
      </c>
      <c r="M50" s="5">
        <v>2880</v>
      </c>
      <c r="N50" s="5">
        <v>2141</v>
      </c>
      <c r="O50" s="5">
        <v>36334</v>
      </c>
    </row>
    <row r="51" spans="1:15" ht="18.3">
      <c r="A51" s="4">
        <v>1225</v>
      </c>
      <c r="B51" s="4" t="s">
        <v>64</v>
      </c>
      <c r="C51" s="5">
        <v>3017</v>
      </c>
      <c r="D51" s="5">
        <v>8027</v>
      </c>
      <c r="E51" s="5">
        <v>2938</v>
      </c>
      <c r="F51" s="6">
        <v>2567</v>
      </c>
      <c r="G51" s="5">
        <v>599</v>
      </c>
      <c r="H51" s="5">
        <v>3470</v>
      </c>
      <c r="I51" s="5">
        <v>4154</v>
      </c>
      <c r="J51" s="6">
        <v>1455</v>
      </c>
      <c r="K51" s="6">
        <v>85</v>
      </c>
      <c r="L51" s="6">
        <v>2144</v>
      </c>
      <c r="M51" s="5">
        <v>3159</v>
      </c>
      <c r="N51" s="5">
        <v>2888</v>
      </c>
      <c r="O51" s="5">
        <v>34503</v>
      </c>
    </row>
    <row r="52" spans="1:15" ht="18.3">
      <c r="A52" s="4">
        <v>1226</v>
      </c>
      <c r="B52" s="4" t="s">
        <v>65</v>
      </c>
      <c r="C52" s="5">
        <v>3824</v>
      </c>
      <c r="D52" s="5">
        <v>8250</v>
      </c>
      <c r="E52" s="5">
        <v>2836</v>
      </c>
      <c r="F52" s="6">
        <v>3057</v>
      </c>
      <c r="G52" s="5">
        <v>1974</v>
      </c>
      <c r="H52" s="5">
        <v>3590</v>
      </c>
      <c r="I52" s="5">
        <v>3698</v>
      </c>
      <c r="J52" s="6">
        <v>1082</v>
      </c>
      <c r="K52" s="6">
        <v>455</v>
      </c>
      <c r="L52" s="6">
        <v>2736</v>
      </c>
      <c r="M52" s="5">
        <v>3781</v>
      </c>
      <c r="N52" s="5">
        <v>1911</v>
      </c>
      <c r="O52" s="5">
        <v>37194</v>
      </c>
    </row>
    <row r="53" spans="1:15" ht="18.3">
      <c r="A53" s="4">
        <v>1227</v>
      </c>
      <c r="B53" s="4" t="s">
        <v>66</v>
      </c>
      <c r="C53" s="5"/>
      <c r="D53" s="5"/>
      <c r="E53" s="5"/>
      <c r="F53" s="6"/>
      <c r="G53" s="5"/>
      <c r="H53" s="5">
        <v>0</v>
      </c>
      <c r="I53" s="5">
        <v>10113</v>
      </c>
      <c r="J53" s="6">
        <v>13782</v>
      </c>
      <c r="K53" s="6">
        <v>6075</v>
      </c>
      <c r="L53" s="6">
        <v>6878</v>
      </c>
      <c r="M53" s="5">
        <v>11376</v>
      </c>
      <c r="N53" s="5">
        <v>3390</v>
      </c>
      <c r="O53" s="5">
        <v>51614</v>
      </c>
    </row>
    <row r="54" spans="1:15" ht="18.3">
      <c r="A54" s="4">
        <v>1228</v>
      </c>
      <c r="B54" s="4" t="s">
        <v>67</v>
      </c>
      <c r="C54" s="5"/>
      <c r="D54" s="5"/>
      <c r="E54" s="5"/>
      <c r="F54" s="6"/>
      <c r="G54" s="5"/>
      <c r="H54" s="5">
        <v>0</v>
      </c>
      <c r="I54" s="5">
        <v>8375</v>
      </c>
      <c r="J54" s="6">
        <v>10778</v>
      </c>
      <c r="K54" s="6">
        <v>4327</v>
      </c>
      <c r="L54" s="6">
        <v>5518</v>
      </c>
      <c r="M54" s="5">
        <v>11176</v>
      </c>
      <c r="N54" s="5">
        <v>5859</v>
      </c>
      <c r="O54" s="5">
        <v>46033</v>
      </c>
    </row>
    <row r="55" spans="1:15" ht="18.3">
      <c r="A55" s="4">
        <v>1301</v>
      </c>
      <c r="B55" s="4" t="s">
        <v>68</v>
      </c>
      <c r="C55" s="5">
        <v>0</v>
      </c>
      <c r="D55" s="5">
        <v>0</v>
      </c>
      <c r="E55" s="5">
        <v>0</v>
      </c>
      <c r="F55" s="6">
        <v>0</v>
      </c>
      <c r="G55" s="5">
        <v>0</v>
      </c>
      <c r="H55" s="5">
        <v>0</v>
      </c>
      <c r="I55" s="5">
        <v>0</v>
      </c>
      <c r="J55" s="6">
        <v>0</v>
      </c>
      <c r="K55" s="6">
        <v>0</v>
      </c>
      <c r="L55" s="6">
        <v>0</v>
      </c>
      <c r="M55" s="5">
        <v>0</v>
      </c>
      <c r="N55" s="5">
        <v>0</v>
      </c>
      <c r="O55" s="5">
        <v>0</v>
      </c>
    </row>
    <row r="56" spans="1:15" ht="18.3">
      <c r="A56" s="4">
        <v>1302</v>
      </c>
      <c r="B56" s="4" t="s">
        <v>69</v>
      </c>
      <c r="C56" s="5">
        <v>34</v>
      </c>
      <c r="D56" s="5">
        <v>38</v>
      </c>
      <c r="E56" s="5">
        <v>0</v>
      </c>
      <c r="F56" s="6">
        <v>0</v>
      </c>
      <c r="G56" s="5">
        <v>0</v>
      </c>
      <c r="H56" s="5">
        <v>0</v>
      </c>
      <c r="I56" s="5">
        <v>0</v>
      </c>
      <c r="J56" s="6">
        <v>0</v>
      </c>
      <c r="K56" s="6">
        <v>0</v>
      </c>
      <c r="L56" s="6">
        <v>0</v>
      </c>
      <c r="M56" s="5">
        <v>0</v>
      </c>
      <c r="N56" s="5">
        <v>0</v>
      </c>
      <c r="O56" s="5">
        <v>72</v>
      </c>
    </row>
    <row r="57" spans="1:15" ht="18.3">
      <c r="A57" s="4">
        <v>1303</v>
      </c>
      <c r="B57" s="4" t="s">
        <v>70</v>
      </c>
      <c r="C57" s="5">
        <v>0</v>
      </c>
      <c r="D57" s="5">
        <v>0</v>
      </c>
      <c r="E57" s="5">
        <v>0</v>
      </c>
      <c r="F57" s="6">
        <v>0</v>
      </c>
      <c r="G57" s="5">
        <v>0</v>
      </c>
      <c r="H57" s="5">
        <v>0</v>
      </c>
      <c r="I57" s="5">
        <v>0</v>
      </c>
      <c r="J57" s="6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</row>
    <row r="58" spans="1:15" ht="18.3">
      <c r="A58" s="4">
        <v>1304</v>
      </c>
      <c r="B58" s="4" t="s">
        <v>71</v>
      </c>
      <c r="C58" s="5">
        <v>0</v>
      </c>
      <c r="D58" s="5">
        <v>0</v>
      </c>
      <c r="E58" s="5">
        <v>0</v>
      </c>
      <c r="F58" s="6">
        <v>0</v>
      </c>
      <c r="G58" s="5">
        <v>0</v>
      </c>
      <c r="H58" s="5">
        <v>0</v>
      </c>
      <c r="I58" s="5">
        <v>0</v>
      </c>
      <c r="J58" s="6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</row>
    <row r="59" spans="1:15" ht="18.3">
      <c r="A59" s="4">
        <v>1305</v>
      </c>
      <c r="B59" s="4" t="s">
        <v>72</v>
      </c>
      <c r="C59" s="5">
        <v>0</v>
      </c>
      <c r="D59" s="5">
        <v>0</v>
      </c>
      <c r="E59" s="5">
        <v>0</v>
      </c>
      <c r="F59" s="6">
        <v>0</v>
      </c>
      <c r="G59" s="5">
        <v>0</v>
      </c>
      <c r="H59" s="5">
        <v>0</v>
      </c>
      <c r="I59" s="5">
        <v>0</v>
      </c>
      <c r="J59" s="6">
        <v>0</v>
      </c>
      <c r="K59" s="6">
        <v>0</v>
      </c>
      <c r="L59" s="6">
        <v>0</v>
      </c>
      <c r="M59" s="5">
        <v>0</v>
      </c>
      <c r="N59" s="5">
        <v>0</v>
      </c>
      <c r="O59" s="5">
        <v>0</v>
      </c>
    </row>
    <row r="60" spans="1:15" ht="18.3">
      <c r="A60" s="4">
        <v>1306</v>
      </c>
      <c r="B60" s="4" t="s">
        <v>73</v>
      </c>
      <c r="C60" s="5">
        <v>1244</v>
      </c>
      <c r="D60" s="5">
        <v>247</v>
      </c>
      <c r="E60" s="5">
        <v>405</v>
      </c>
      <c r="F60" s="6">
        <v>4066</v>
      </c>
      <c r="G60" s="5">
        <v>3574</v>
      </c>
      <c r="H60" s="5">
        <v>4735</v>
      </c>
      <c r="I60" s="5">
        <v>6761</v>
      </c>
      <c r="J60" s="6">
        <v>3301</v>
      </c>
      <c r="K60" s="6">
        <v>372</v>
      </c>
      <c r="L60" s="6">
        <v>3107</v>
      </c>
      <c r="M60" s="5">
        <v>3316</v>
      </c>
      <c r="N60" s="5">
        <v>2970</v>
      </c>
      <c r="O60" s="5">
        <v>34098</v>
      </c>
    </row>
    <row r="61" spans="1:15" ht="18.3">
      <c r="A61" s="4">
        <v>1307</v>
      </c>
      <c r="B61" s="4" t="s">
        <v>74</v>
      </c>
      <c r="C61" s="5">
        <v>1193</v>
      </c>
      <c r="D61" s="5">
        <v>4795</v>
      </c>
      <c r="E61" s="5">
        <v>3457</v>
      </c>
      <c r="F61" s="6">
        <v>3351</v>
      </c>
      <c r="G61" s="5">
        <v>2390</v>
      </c>
      <c r="H61" s="5">
        <v>3660</v>
      </c>
      <c r="I61" s="5">
        <v>5344</v>
      </c>
      <c r="J61" s="6">
        <v>3240</v>
      </c>
      <c r="K61" s="6">
        <v>383</v>
      </c>
      <c r="L61" s="6">
        <v>3416</v>
      </c>
      <c r="M61" s="5">
        <v>2663</v>
      </c>
      <c r="N61" s="5">
        <v>2321</v>
      </c>
      <c r="O61" s="5">
        <v>36213</v>
      </c>
    </row>
    <row r="62" spans="1:15" ht="18.3">
      <c r="A62" s="4">
        <v>1308</v>
      </c>
      <c r="B62" s="4" t="s">
        <v>75</v>
      </c>
      <c r="C62" s="5">
        <v>10297</v>
      </c>
      <c r="D62" s="5">
        <v>29892</v>
      </c>
      <c r="E62" s="5">
        <v>15427</v>
      </c>
      <c r="F62" s="6">
        <v>21295</v>
      </c>
      <c r="G62" s="5">
        <v>18726</v>
      </c>
      <c r="H62" s="5">
        <v>16433</v>
      </c>
      <c r="I62" s="5">
        <v>13895</v>
      </c>
      <c r="J62" s="6">
        <v>20746</v>
      </c>
      <c r="K62" s="6">
        <v>15847</v>
      </c>
      <c r="L62" s="6">
        <v>19977</v>
      </c>
      <c r="M62" s="5">
        <v>15678</v>
      </c>
      <c r="N62" s="5">
        <v>16362</v>
      </c>
      <c r="O62" s="5">
        <v>214575</v>
      </c>
    </row>
    <row r="63" spans="1:15" ht="18.3">
      <c r="A63" s="4">
        <v>1309</v>
      </c>
      <c r="B63" s="4" t="s">
        <v>76</v>
      </c>
      <c r="C63" s="5">
        <v>3808</v>
      </c>
      <c r="D63" s="5">
        <v>8777</v>
      </c>
      <c r="E63" s="5">
        <v>7149</v>
      </c>
      <c r="F63" s="6">
        <v>6052</v>
      </c>
      <c r="G63" s="5">
        <v>5138</v>
      </c>
      <c r="H63" s="5">
        <v>12752</v>
      </c>
      <c r="I63" s="5">
        <v>15090</v>
      </c>
      <c r="J63" s="6">
        <v>9622</v>
      </c>
      <c r="K63" s="6">
        <v>4772</v>
      </c>
      <c r="L63" s="6">
        <v>8408</v>
      </c>
      <c r="M63" s="5">
        <v>7392</v>
      </c>
      <c r="N63" s="5">
        <v>5510</v>
      </c>
      <c r="O63" s="5">
        <v>94470</v>
      </c>
    </row>
    <row r="64" spans="1:15" ht="18.3">
      <c r="A64" s="4">
        <v>1310</v>
      </c>
      <c r="B64" s="4" t="s">
        <v>77</v>
      </c>
      <c r="C64" s="5">
        <v>6176</v>
      </c>
      <c r="D64" s="5">
        <v>12370</v>
      </c>
      <c r="E64" s="5">
        <v>4980</v>
      </c>
      <c r="F64" s="6">
        <v>7045</v>
      </c>
      <c r="G64" s="5">
        <v>4686</v>
      </c>
      <c r="H64" s="5">
        <v>9653</v>
      </c>
      <c r="I64" s="5">
        <v>10698</v>
      </c>
      <c r="J64" s="6">
        <v>6890</v>
      </c>
      <c r="K64" s="6">
        <v>3482</v>
      </c>
      <c r="L64" s="6">
        <v>5698</v>
      </c>
      <c r="M64" s="5">
        <v>6996</v>
      </c>
      <c r="N64" s="5">
        <v>6530</v>
      </c>
      <c r="O64" s="5">
        <v>85204</v>
      </c>
    </row>
    <row r="65" spans="1:15" ht="18.3">
      <c r="A65" s="4">
        <v>1311</v>
      </c>
      <c r="B65" s="4" t="s">
        <v>78</v>
      </c>
      <c r="C65" s="5">
        <v>774</v>
      </c>
      <c r="D65" s="5">
        <v>3517</v>
      </c>
      <c r="E65" s="5">
        <v>1898</v>
      </c>
      <c r="F65" s="6">
        <v>1763</v>
      </c>
      <c r="G65" s="5">
        <v>1483</v>
      </c>
      <c r="H65" s="5">
        <v>2328</v>
      </c>
      <c r="I65" s="5">
        <v>451</v>
      </c>
      <c r="J65" s="6">
        <v>37</v>
      </c>
      <c r="K65" s="6">
        <v>4</v>
      </c>
      <c r="L65" s="6">
        <v>0</v>
      </c>
      <c r="M65" s="5">
        <v>0</v>
      </c>
      <c r="N65" s="5">
        <v>0</v>
      </c>
      <c r="O65" s="5">
        <v>12255</v>
      </c>
    </row>
    <row r="66" spans="1:15" ht="18.3">
      <c r="A66" s="4">
        <v>1401</v>
      </c>
      <c r="B66" s="4" t="s">
        <v>79</v>
      </c>
      <c r="C66" s="5">
        <v>9055</v>
      </c>
      <c r="D66" s="5">
        <v>17826</v>
      </c>
      <c r="E66" s="5">
        <v>12010</v>
      </c>
      <c r="F66" s="6">
        <v>13266</v>
      </c>
      <c r="G66" s="5">
        <v>11469</v>
      </c>
      <c r="H66" s="5">
        <v>17475</v>
      </c>
      <c r="I66" s="5">
        <v>18884</v>
      </c>
      <c r="J66" s="6">
        <v>17256</v>
      </c>
      <c r="K66" s="6">
        <v>16956</v>
      </c>
      <c r="L66" s="6">
        <v>15385</v>
      </c>
      <c r="M66" s="5">
        <v>14777</v>
      </c>
      <c r="N66" s="5">
        <v>10262</v>
      </c>
      <c r="O66" s="5">
        <v>174621</v>
      </c>
    </row>
    <row r="67" spans="1:15" ht="18.3">
      <c r="A67" s="4">
        <v>1402</v>
      </c>
      <c r="B67" s="4" t="s">
        <v>80</v>
      </c>
      <c r="C67" s="5">
        <v>8461</v>
      </c>
      <c r="D67" s="5">
        <v>18644</v>
      </c>
      <c r="E67" s="5">
        <v>10458</v>
      </c>
      <c r="F67" s="6">
        <v>11275</v>
      </c>
      <c r="G67" s="5">
        <v>10717</v>
      </c>
      <c r="H67" s="5">
        <v>15262</v>
      </c>
      <c r="I67" s="5">
        <v>17459</v>
      </c>
      <c r="J67" s="6">
        <v>17275</v>
      </c>
      <c r="K67" s="6">
        <v>15180</v>
      </c>
      <c r="L67" s="6">
        <v>14933</v>
      </c>
      <c r="M67" s="5">
        <v>15055</v>
      </c>
      <c r="N67" s="5">
        <v>14885</v>
      </c>
      <c r="O67" s="5">
        <v>169604</v>
      </c>
    </row>
    <row r="68" spans="1:15" ht="18.3">
      <c r="A68" s="4">
        <v>1403</v>
      </c>
      <c r="B68" s="4" t="s">
        <v>81</v>
      </c>
      <c r="C68" s="5">
        <v>3246</v>
      </c>
      <c r="D68" s="5">
        <v>8758</v>
      </c>
      <c r="E68" s="5">
        <v>4215</v>
      </c>
      <c r="F68" s="6">
        <v>5093</v>
      </c>
      <c r="G68" s="5">
        <v>4279</v>
      </c>
      <c r="H68" s="5">
        <v>5464</v>
      </c>
      <c r="I68" s="5">
        <v>3922</v>
      </c>
      <c r="J68" s="6">
        <v>326</v>
      </c>
      <c r="K68" s="6">
        <v>4298</v>
      </c>
      <c r="L68" s="6">
        <v>5541</v>
      </c>
      <c r="M68" s="5">
        <v>5300</v>
      </c>
      <c r="N68" s="5">
        <v>5591</v>
      </c>
      <c r="O68" s="5">
        <v>56033</v>
      </c>
    </row>
    <row r="69" spans="1:15" ht="18.3">
      <c r="A69" s="4">
        <v>1404</v>
      </c>
      <c r="B69" s="4" t="s">
        <v>82</v>
      </c>
      <c r="C69" s="5">
        <v>2571</v>
      </c>
      <c r="D69" s="5">
        <v>2708</v>
      </c>
      <c r="E69" s="5">
        <v>5596</v>
      </c>
      <c r="F69" s="6">
        <v>6248</v>
      </c>
      <c r="G69" s="5">
        <v>5236</v>
      </c>
      <c r="H69" s="5">
        <v>7733</v>
      </c>
      <c r="I69" s="5">
        <v>9087</v>
      </c>
      <c r="J69" s="6">
        <v>2018</v>
      </c>
      <c r="K69" s="6">
        <v>4628</v>
      </c>
      <c r="L69" s="6">
        <v>7525</v>
      </c>
      <c r="M69" s="5">
        <v>7781</v>
      </c>
      <c r="N69" s="5">
        <v>6726</v>
      </c>
      <c r="O69" s="5">
        <v>67857</v>
      </c>
    </row>
    <row r="70" spans="1:15" ht="18.3">
      <c r="A70" s="4">
        <v>1405</v>
      </c>
      <c r="B70" s="4" t="s">
        <v>83</v>
      </c>
      <c r="C70" s="5">
        <v>3256</v>
      </c>
      <c r="D70" s="5">
        <v>6498</v>
      </c>
      <c r="E70" s="5">
        <v>2453</v>
      </c>
      <c r="F70" s="6">
        <v>1998</v>
      </c>
      <c r="G70" s="5">
        <v>1744</v>
      </c>
      <c r="H70" s="5">
        <v>2931</v>
      </c>
      <c r="I70" s="5">
        <v>3415</v>
      </c>
      <c r="J70" s="6">
        <v>3019</v>
      </c>
      <c r="K70" s="6">
        <v>3040</v>
      </c>
      <c r="L70" s="6">
        <v>2913</v>
      </c>
      <c r="M70" s="5">
        <v>3080</v>
      </c>
      <c r="N70" s="5">
        <v>3199</v>
      </c>
      <c r="O70" s="5">
        <v>37546</v>
      </c>
    </row>
    <row r="71" spans="1:15" ht="18.3">
      <c r="A71" s="4">
        <v>1406</v>
      </c>
      <c r="B71" s="4" t="s">
        <v>84</v>
      </c>
      <c r="C71" s="5">
        <v>234</v>
      </c>
      <c r="D71" s="5">
        <v>1332</v>
      </c>
      <c r="E71" s="5">
        <v>634</v>
      </c>
      <c r="F71" s="6">
        <v>791</v>
      </c>
      <c r="G71" s="5">
        <v>662</v>
      </c>
      <c r="H71" s="5">
        <v>903</v>
      </c>
      <c r="I71" s="5">
        <v>487</v>
      </c>
      <c r="J71" s="6">
        <v>121</v>
      </c>
      <c r="K71" s="6">
        <v>61</v>
      </c>
      <c r="L71" s="6">
        <v>44</v>
      </c>
      <c r="M71" s="5">
        <v>21</v>
      </c>
      <c r="N71" s="5">
        <v>0</v>
      </c>
      <c r="O71" s="5">
        <v>5290</v>
      </c>
    </row>
    <row r="72" spans="1:15" ht="18.3">
      <c r="A72" s="4">
        <v>1407</v>
      </c>
      <c r="B72" s="4" t="s">
        <v>85</v>
      </c>
      <c r="C72" s="5">
        <v>435</v>
      </c>
      <c r="D72" s="5">
        <v>1640</v>
      </c>
      <c r="E72" s="5">
        <v>1030</v>
      </c>
      <c r="F72" s="6">
        <v>1333</v>
      </c>
      <c r="G72" s="5">
        <v>1017</v>
      </c>
      <c r="H72" s="5">
        <v>1469</v>
      </c>
      <c r="I72" s="5">
        <v>1779</v>
      </c>
      <c r="J72" s="6">
        <v>1403</v>
      </c>
      <c r="K72" s="6">
        <v>429</v>
      </c>
      <c r="L72" s="6">
        <v>1550</v>
      </c>
      <c r="M72" s="5">
        <v>1296</v>
      </c>
      <c r="N72" s="5">
        <v>1253</v>
      </c>
      <c r="O72" s="5">
        <v>14634</v>
      </c>
    </row>
    <row r="73" spans="1:15" ht="18.3">
      <c r="A73" s="4">
        <v>1408</v>
      </c>
      <c r="B73" s="4" t="s">
        <v>86</v>
      </c>
      <c r="C73" s="5">
        <v>339</v>
      </c>
      <c r="D73" s="5">
        <v>1687</v>
      </c>
      <c r="E73" s="5">
        <v>867</v>
      </c>
      <c r="F73" s="6">
        <v>782</v>
      </c>
      <c r="G73" s="5">
        <v>901</v>
      </c>
      <c r="H73" s="5">
        <v>1730</v>
      </c>
      <c r="I73" s="5">
        <v>2228</v>
      </c>
      <c r="J73" s="6">
        <v>460</v>
      </c>
      <c r="K73" s="6">
        <v>237</v>
      </c>
      <c r="L73" s="6">
        <v>1083</v>
      </c>
      <c r="M73" s="5">
        <v>656</v>
      </c>
      <c r="N73" s="5">
        <v>258</v>
      </c>
      <c r="O73" s="5">
        <v>11228</v>
      </c>
    </row>
    <row r="74" spans="1:15" ht="18.3">
      <c r="A74" s="4">
        <v>1409</v>
      </c>
      <c r="B74" s="4" t="s">
        <v>87</v>
      </c>
      <c r="C74" s="5">
        <v>519</v>
      </c>
      <c r="D74" s="5">
        <v>1009</v>
      </c>
      <c r="E74" s="5">
        <v>910</v>
      </c>
      <c r="F74" s="6">
        <v>1086</v>
      </c>
      <c r="G74" s="5">
        <v>673</v>
      </c>
      <c r="H74" s="5">
        <v>4085</v>
      </c>
      <c r="I74" s="5">
        <v>5093</v>
      </c>
      <c r="J74" s="6">
        <v>3376</v>
      </c>
      <c r="K74" s="6">
        <v>3595</v>
      </c>
      <c r="L74" s="6">
        <v>104</v>
      </c>
      <c r="M74" s="5">
        <v>2293</v>
      </c>
      <c r="N74" s="5">
        <v>449</v>
      </c>
      <c r="O74" s="5">
        <v>23192</v>
      </c>
    </row>
    <row r="75" spans="1:15" ht="18.3">
      <c r="A75" s="4">
        <v>1410</v>
      </c>
      <c r="B75" s="4" t="s">
        <v>88</v>
      </c>
      <c r="C75" s="5">
        <v>562</v>
      </c>
      <c r="D75" s="5">
        <v>836</v>
      </c>
      <c r="E75" s="5">
        <v>1245</v>
      </c>
      <c r="F75" s="6">
        <v>1441</v>
      </c>
      <c r="G75" s="5">
        <v>1076</v>
      </c>
      <c r="H75" s="5">
        <v>2038</v>
      </c>
      <c r="I75" s="5">
        <v>2470</v>
      </c>
      <c r="J75" s="6">
        <v>2275</v>
      </c>
      <c r="K75" s="6">
        <v>1655</v>
      </c>
      <c r="L75" s="6">
        <v>2131</v>
      </c>
      <c r="M75" s="5">
        <v>4505</v>
      </c>
      <c r="N75" s="5">
        <v>1097</v>
      </c>
      <c r="O75" s="5">
        <v>21331</v>
      </c>
    </row>
    <row r="76" spans="1:15" ht="18.3">
      <c r="A76" s="4">
        <v>1411</v>
      </c>
      <c r="B76" s="4" t="s">
        <v>89</v>
      </c>
      <c r="C76" s="5">
        <v>304</v>
      </c>
      <c r="D76" s="5">
        <v>92</v>
      </c>
      <c r="E76" s="5">
        <v>5</v>
      </c>
      <c r="F76" s="6">
        <v>19</v>
      </c>
      <c r="G76" s="5">
        <v>443</v>
      </c>
      <c r="H76" s="5">
        <v>625</v>
      </c>
      <c r="I76" s="5">
        <v>1137</v>
      </c>
      <c r="J76" s="6">
        <v>422</v>
      </c>
      <c r="K76" s="6">
        <v>212</v>
      </c>
      <c r="L76" s="6">
        <v>157</v>
      </c>
      <c r="M76" s="5">
        <v>89</v>
      </c>
      <c r="N76" s="5">
        <v>1</v>
      </c>
      <c r="O76" s="5">
        <v>3506</v>
      </c>
    </row>
    <row r="77" spans="1:15" ht="18.3">
      <c r="A77" s="4">
        <v>1412</v>
      </c>
      <c r="B77" s="4" t="s">
        <v>90</v>
      </c>
      <c r="C77" s="5">
        <v>1679</v>
      </c>
      <c r="D77" s="5">
        <v>2386</v>
      </c>
      <c r="E77" s="5">
        <v>2517</v>
      </c>
      <c r="F77" s="6">
        <v>1616</v>
      </c>
      <c r="G77" s="5">
        <v>1137</v>
      </c>
      <c r="H77" s="5">
        <v>1787</v>
      </c>
      <c r="I77" s="5">
        <v>2886</v>
      </c>
      <c r="J77" s="6">
        <v>1257</v>
      </c>
      <c r="K77" s="6">
        <v>523</v>
      </c>
      <c r="L77" s="6">
        <v>314</v>
      </c>
      <c r="M77" s="5">
        <v>184</v>
      </c>
      <c r="N77" s="5">
        <v>102</v>
      </c>
      <c r="O77" s="5">
        <v>16388</v>
      </c>
    </row>
    <row r="78" spans="1:15" ht="18.3">
      <c r="A78" s="4">
        <v>1413</v>
      </c>
      <c r="B78" s="4" t="s">
        <v>91</v>
      </c>
      <c r="C78" s="5">
        <v>0</v>
      </c>
      <c r="D78" s="5">
        <v>0</v>
      </c>
      <c r="E78" s="5">
        <v>0</v>
      </c>
      <c r="F78" s="6">
        <v>0</v>
      </c>
      <c r="G78" s="5">
        <v>0</v>
      </c>
      <c r="H78" s="5">
        <v>0</v>
      </c>
      <c r="I78" s="5">
        <v>0</v>
      </c>
      <c r="J78" s="6">
        <v>0</v>
      </c>
      <c r="K78" s="6">
        <v>0</v>
      </c>
      <c r="L78" s="6">
        <v>0</v>
      </c>
      <c r="M78" s="5">
        <v>0</v>
      </c>
      <c r="N78" s="5">
        <v>0</v>
      </c>
      <c r="O78" s="5">
        <v>0</v>
      </c>
    </row>
    <row r="79" spans="1:15" ht="18.3">
      <c r="A79" s="4">
        <v>1414</v>
      </c>
      <c r="B79" s="4" t="s">
        <v>92</v>
      </c>
      <c r="C79" s="5">
        <v>96</v>
      </c>
      <c r="D79" s="5">
        <v>171</v>
      </c>
      <c r="E79" s="5">
        <v>137</v>
      </c>
      <c r="F79" s="6">
        <v>114</v>
      </c>
      <c r="G79" s="5">
        <v>110</v>
      </c>
      <c r="H79" s="5">
        <v>16</v>
      </c>
      <c r="I79" s="5">
        <v>4</v>
      </c>
      <c r="J79" s="6">
        <v>2</v>
      </c>
      <c r="K79" s="6">
        <v>5</v>
      </c>
      <c r="L79" s="6">
        <v>5</v>
      </c>
      <c r="M79" s="5">
        <v>0</v>
      </c>
      <c r="N79" s="5">
        <v>0</v>
      </c>
      <c r="O79" s="5">
        <v>660</v>
      </c>
    </row>
    <row r="80" spans="1:15" ht="18.3">
      <c r="A80" s="4">
        <v>1415</v>
      </c>
      <c r="B80" s="4" t="s">
        <v>93</v>
      </c>
      <c r="C80" s="5">
        <v>352</v>
      </c>
      <c r="D80" s="5">
        <v>219</v>
      </c>
      <c r="E80" s="5">
        <v>143</v>
      </c>
      <c r="F80" s="6">
        <v>138</v>
      </c>
      <c r="G80" s="5">
        <v>322</v>
      </c>
      <c r="H80" s="5">
        <v>363</v>
      </c>
      <c r="I80" s="5">
        <v>151</v>
      </c>
      <c r="J80" s="6">
        <v>463</v>
      </c>
      <c r="K80" s="6">
        <v>208</v>
      </c>
      <c r="L80" s="6">
        <v>170</v>
      </c>
      <c r="M80" s="5">
        <v>131</v>
      </c>
      <c r="N80" s="5">
        <v>10</v>
      </c>
      <c r="O80" s="5">
        <v>2670</v>
      </c>
    </row>
    <row r="81" spans="1:15" ht="18.3">
      <c r="A81" s="4">
        <v>1416</v>
      </c>
      <c r="B81" s="4" t="s">
        <v>94</v>
      </c>
      <c r="C81" s="5">
        <v>349</v>
      </c>
      <c r="D81" s="5">
        <v>228</v>
      </c>
      <c r="E81" s="5">
        <v>150</v>
      </c>
      <c r="F81" s="6">
        <v>138</v>
      </c>
      <c r="G81" s="5">
        <v>304</v>
      </c>
      <c r="H81" s="5">
        <v>384</v>
      </c>
      <c r="I81" s="5">
        <v>153</v>
      </c>
      <c r="J81" s="6">
        <v>449</v>
      </c>
      <c r="K81" s="6">
        <v>216</v>
      </c>
      <c r="L81" s="6">
        <v>161</v>
      </c>
      <c r="M81" s="5">
        <v>150</v>
      </c>
      <c r="N81" s="5">
        <v>14</v>
      </c>
      <c r="O81" s="5">
        <v>2696</v>
      </c>
    </row>
    <row r="82" spans="1:15" ht="18.3">
      <c r="A82" s="4">
        <v>1417</v>
      </c>
      <c r="B82" s="4" t="s">
        <v>95</v>
      </c>
      <c r="C82" s="5">
        <v>37</v>
      </c>
      <c r="D82" s="5">
        <v>111</v>
      </c>
      <c r="E82" s="5">
        <v>83</v>
      </c>
      <c r="F82" s="6">
        <v>25</v>
      </c>
      <c r="G82" s="5">
        <v>14</v>
      </c>
      <c r="H82" s="5">
        <v>186</v>
      </c>
      <c r="I82" s="5">
        <v>128</v>
      </c>
      <c r="J82" s="6">
        <v>17</v>
      </c>
      <c r="K82" s="6">
        <v>0</v>
      </c>
      <c r="L82" s="6">
        <v>0</v>
      </c>
      <c r="M82" s="5">
        <v>0</v>
      </c>
      <c r="N82" s="5">
        <v>0</v>
      </c>
      <c r="O82" s="5">
        <v>601</v>
      </c>
    </row>
    <row r="83" spans="1:15" ht="18.3">
      <c r="A83" s="4">
        <v>1418</v>
      </c>
      <c r="B83" s="4" t="s">
        <v>96</v>
      </c>
      <c r="C83" s="5">
        <v>23</v>
      </c>
      <c r="D83" s="5">
        <v>70</v>
      </c>
      <c r="E83" s="5">
        <v>53</v>
      </c>
      <c r="F83" s="6">
        <v>44</v>
      </c>
      <c r="G83" s="5">
        <v>39</v>
      </c>
      <c r="H83" s="5">
        <v>1</v>
      </c>
      <c r="I83" s="5">
        <v>1</v>
      </c>
      <c r="J83" s="6">
        <v>6</v>
      </c>
      <c r="K83" s="6">
        <v>0</v>
      </c>
      <c r="L83" s="6">
        <v>1</v>
      </c>
      <c r="M83" s="5">
        <v>0</v>
      </c>
      <c r="N83" s="5">
        <v>0</v>
      </c>
      <c r="O83" s="5">
        <v>238</v>
      </c>
    </row>
    <row r="84" spans="1:15" ht="18.3">
      <c r="A84" s="4">
        <v>1419</v>
      </c>
      <c r="B84" s="4" t="s">
        <v>97</v>
      </c>
      <c r="C84" s="5">
        <v>1530</v>
      </c>
      <c r="D84" s="5">
        <v>4312</v>
      </c>
      <c r="E84" s="5">
        <v>2791</v>
      </c>
      <c r="F84" s="6">
        <v>2496</v>
      </c>
      <c r="G84" s="5">
        <v>4746</v>
      </c>
      <c r="H84" s="5">
        <v>2857</v>
      </c>
      <c r="I84" s="5">
        <v>2650</v>
      </c>
      <c r="J84" s="6">
        <v>5419</v>
      </c>
      <c r="K84" s="6">
        <v>1611</v>
      </c>
      <c r="L84" s="6">
        <v>1833</v>
      </c>
      <c r="M84" s="5">
        <v>2327</v>
      </c>
      <c r="N84" s="5">
        <v>1655</v>
      </c>
      <c r="O84" s="5">
        <v>34227</v>
      </c>
    </row>
    <row r="85" spans="1:15" ht="18.3">
      <c r="A85" s="4">
        <v>1420</v>
      </c>
      <c r="B85" s="4" t="s">
        <v>98</v>
      </c>
      <c r="C85" s="5">
        <v>1699</v>
      </c>
      <c r="D85" s="5">
        <v>3646</v>
      </c>
      <c r="E85" s="5">
        <v>1717</v>
      </c>
      <c r="F85" s="6">
        <v>1655</v>
      </c>
      <c r="G85" s="5">
        <v>633</v>
      </c>
      <c r="H85" s="5">
        <v>1076</v>
      </c>
      <c r="I85" s="5">
        <v>2386</v>
      </c>
      <c r="J85" s="6">
        <v>2020</v>
      </c>
      <c r="K85" s="6">
        <v>1499</v>
      </c>
      <c r="L85" s="6">
        <v>1754</v>
      </c>
      <c r="M85" s="5">
        <v>799</v>
      </c>
      <c r="N85" s="5">
        <v>1210</v>
      </c>
      <c r="O85" s="5">
        <v>20094</v>
      </c>
    </row>
    <row r="86" spans="1:15" ht="18.3">
      <c r="A86" s="4">
        <v>1421</v>
      </c>
      <c r="B86" s="4" t="s">
        <v>99</v>
      </c>
      <c r="C86" s="5">
        <v>401</v>
      </c>
      <c r="D86" s="5">
        <v>5073</v>
      </c>
      <c r="E86" s="5">
        <v>3865</v>
      </c>
      <c r="F86" s="6">
        <v>1177</v>
      </c>
      <c r="G86" s="5">
        <v>458</v>
      </c>
      <c r="H86" s="5">
        <v>1192</v>
      </c>
      <c r="I86" s="5">
        <v>3788</v>
      </c>
      <c r="J86" s="6">
        <v>3493</v>
      </c>
      <c r="K86" s="6">
        <v>4451</v>
      </c>
      <c r="L86" s="6">
        <v>2898</v>
      </c>
      <c r="M86" s="5">
        <v>2453</v>
      </c>
      <c r="N86" s="5">
        <v>1900</v>
      </c>
      <c r="O86" s="5">
        <v>31149</v>
      </c>
    </row>
    <row r="87" spans="1:15" ht="18.3">
      <c r="A87" s="4">
        <v>1501</v>
      </c>
      <c r="B87" s="4" t="s">
        <v>100</v>
      </c>
      <c r="C87" s="5">
        <v>166</v>
      </c>
      <c r="D87" s="5">
        <v>791</v>
      </c>
      <c r="E87" s="5">
        <v>746</v>
      </c>
      <c r="F87" s="6">
        <v>860</v>
      </c>
      <c r="G87" s="5">
        <v>764</v>
      </c>
      <c r="H87" s="5">
        <v>1258</v>
      </c>
      <c r="I87" s="5">
        <v>1216</v>
      </c>
      <c r="J87" s="6">
        <v>563</v>
      </c>
      <c r="K87" s="6">
        <v>431</v>
      </c>
      <c r="L87" s="6">
        <v>619</v>
      </c>
      <c r="M87" s="5">
        <v>617</v>
      </c>
      <c r="N87" s="5">
        <v>538</v>
      </c>
      <c r="O87" s="5">
        <v>8569</v>
      </c>
    </row>
    <row r="88" spans="1:15" ht="18.3">
      <c r="A88" s="4">
        <v>1502</v>
      </c>
      <c r="B88" s="4" t="s">
        <v>101</v>
      </c>
      <c r="C88" s="5">
        <v>165</v>
      </c>
      <c r="D88" s="5">
        <v>747</v>
      </c>
      <c r="E88" s="5">
        <v>719</v>
      </c>
      <c r="F88" s="6">
        <v>825</v>
      </c>
      <c r="G88" s="5">
        <v>819</v>
      </c>
      <c r="H88" s="5">
        <v>1227</v>
      </c>
      <c r="I88" s="5">
        <v>1175</v>
      </c>
      <c r="J88" s="6">
        <v>555</v>
      </c>
      <c r="K88" s="6">
        <v>474</v>
      </c>
      <c r="L88" s="6">
        <v>694</v>
      </c>
      <c r="M88" s="5">
        <v>536</v>
      </c>
      <c r="N88" s="5">
        <v>554</v>
      </c>
      <c r="O88" s="5">
        <v>8490</v>
      </c>
    </row>
    <row r="89" spans="1:15" ht="18.3">
      <c r="A89" s="4">
        <v>1503</v>
      </c>
      <c r="B89" s="4" t="s">
        <v>102</v>
      </c>
      <c r="C89" s="5">
        <v>247</v>
      </c>
      <c r="D89" s="5">
        <v>932</v>
      </c>
      <c r="E89" s="5">
        <v>929</v>
      </c>
      <c r="F89" s="6">
        <v>882</v>
      </c>
      <c r="G89" s="5">
        <v>1143</v>
      </c>
      <c r="H89" s="5">
        <v>1584</v>
      </c>
      <c r="I89" s="5">
        <v>1081</v>
      </c>
      <c r="J89" s="6">
        <v>909</v>
      </c>
      <c r="K89" s="6">
        <v>787</v>
      </c>
      <c r="L89" s="6">
        <v>781</v>
      </c>
      <c r="M89" s="5">
        <v>718</v>
      </c>
      <c r="N89" s="5">
        <v>560</v>
      </c>
      <c r="O89" s="5">
        <v>10553</v>
      </c>
    </row>
    <row r="90" spans="1:15" ht="18.3">
      <c r="A90" s="4">
        <v>1504</v>
      </c>
      <c r="B90" s="4" t="s">
        <v>103</v>
      </c>
      <c r="C90" s="5">
        <v>235</v>
      </c>
      <c r="D90" s="5">
        <v>653</v>
      </c>
      <c r="E90" s="5">
        <v>1072</v>
      </c>
      <c r="F90" s="6">
        <v>1758</v>
      </c>
      <c r="G90" s="5">
        <v>1604</v>
      </c>
      <c r="H90" s="5">
        <v>2128</v>
      </c>
      <c r="I90" s="5">
        <v>1613</v>
      </c>
      <c r="J90" s="6">
        <v>614</v>
      </c>
      <c r="K90" s="6">
        <v>624</v>
      </c>
      <c r="L90" s="6">
        <v>1137</v>
      </c>
      <c r="M90" s="5">
        <v>590</v>
      </c>
      <c r="N90" s="5">
        <v>768</v>
      </c>
      <c r="O90" s="5">
        <v>12796</v>
      </c>
    </row>
    <row r="91" spans="1:15" ht="18.3">
      <c r="A91" s="4">
        <v>1505</v>
      </c>
      <c r="B91" s="4" t="s">
        <v>104</v>
      </c>
      <c r="C91" s="5">
        <v>200</v>
      </c>
      <c r="D91" s="5">
        <v>640</v>
      </c>
      <c r="E91" s="5">
        <v>1123</v>
      </c>
      <c r="F91" s="6">
        <v>1562</v>
      </c>
      <c r="G91" s="5">
        <v>1451</v>
      </c>
      <c r="H91" s="5">
        <v>2178</v>
      </c>
      <c r="I91" s="5">
        <v>1482</v>
      </c>
      <c r="J91" s="6">
        <v>637</v>
      </c>
      <c r="K91" s="6">
        <v>731</v>
      </c>
      <c r="L91" s="6">
        <v>1129</v>
      </c>
      <c r="M91" s="5">
        <v>633</v>
      </c>
      <c r="N91" s="5">
        <v>685</v>
      </c>
      <c r="O91" s="5">
        <v>12451</v>
      </c>
    </row>
    <row r="92" spans="1:15" ht="18.3">
      <c r="A92" s="4">
        <v>1506</v>
      </c>
      <c r="B92" s="4" t="s">
        <v>105</v>
      </c>
      <c r="C92" s="5">
        <v>1062</v>
      </c>
      <c r="D92" s="5">
        <v>2707</v>
      </c>
      <c r="E92" s="5">
        <v>1891</v>
      </c>
      <c r="F92" s="6">
        <v>2559</v>
      </c>
      <c r="G92" s="5">
        <v>2030</v>
      </c>
      <c r="H92" s="5">
        <v>3787</v>
      </c>
      <c r="I92" s="5">
        <v>4429</v>
      </c>
      <c r="J92" s="6">
        <v>3312</v>
      </c>
      <c r="K92" s="6">
        <v>3914</v>
      </c>
      <c r="L92" s="6">
        <v>2511</v>
      </c>
      <c r="M92" s="5">
        <v>1949</v>
      </c>
      <c r="N92" s="5">
        <v>1805</v>
      </c>
      <c r="O92" s="5">
        <v>31956</v>
      </c>
    </row>
    <row r="93" spans="1:15" ht="18.3">
      <c r="A93" s="4">
        <v>1507</v>
      </c>
      <c r="B93" s="4" t="s">
        <v>106</v>
      </c>
      <c r="C93" s="5">
        <v>832</v>
      </c>
      <c r="D93" s="5">
        <v>1072</v>
      </c>
      <c r="E93" s="5">
        <v>182</v>
      </c>
      <c r="F93" s="6">
        <v>38</v>
      </c>
      <c r="G93" s="5">
        <v>9</v>
      </c>
      <c r="H93" s="5">
        <v>0</v>
      </c>
      <c r="I93" s="5">
        <v>0</v>
      </c>
      <c r="J93" s="6">
        <v>0</v>
      </c>
      <c r="K93" s="6">
        <v>0</v>
      </c>
      <c r="L93" s="6">
        <v>0</v>
      </c>
      <c r="M93" s="5">
        <v>0</v>
      </c>
      <c r="N93" s="5">
        <v>0</v>
      </c>
      <c r="O93" s="5">
        <v>2133</v>
      </c>
    </row>
    <row r="94" spans="1:15" ht="18.3">
      <c r="A94" s="4">
        <v>1508</v>
      </c>
      <c r="B94" s="4" t="s">
        <v>107</v>
      </c>
      <c r="C94" s="5">
        <v>3</v>
      </c>
      <c r="D94" s="5">
        <v>0</v>
      </c>
      <c r="E94" s="5">
        <v>0</v>
      </c>
      <c r="F94" s="6">
        <v>0</v>
      </c>
      <c r="G94" s="5">
        <v>0</v>
      </c>
      <c r="H94" s="5">
        <v>0</v>
      </c>
      <c r="I94" s="5">
        <v>0</v>
      </c>
      <c r="J94" s="6">
        <v>0</v>
      </c>
      <c r="K94" s="6">
        <v>0</v>
      </c>
      <c r="L94" s="6">
        <v>0</v>
      </c>
      <c r="M94" s="5">
        <v>0</v>
      </c>
      <c r="N94" s="5">
        <v>0</v>
      </c>
      <c r="O94" s="5">
        <v>3</v>
      </c>
    </row>
    <row r="95" spans="1:15" ht="18.3">
      <c r="A95" s="4">
        <v>1509</v>
      </c>
      <c r="B95" s="4" t="s">
        <v>108</v>
      </c>
      <c r="C95" s="5">
        <v>15</v>
      </c>
      <c r="D95" s="5">
        <v>7</v>
      </c>
      <c r="E95" s="5">
        <v>1</v>
      </c>
      <c r="F95" s="6">
        <v>0</v>
      </c>
      <c r="G95" s="5">
        <v>0</v>
      </c>
      <c r="H95" s="5">
        <v>0</v>
      </c>
      <c r="I95" s="5">
        <v>0</v>
      </c>
      <c r="J95" s="6">
        <v>0</v>
      </c>
      <c r="K95" s="6">
        <v>0</v>
      </c>
      <c r="L95" s="6">
        <v>0</v>
      </c>
      <c r="M95" s="5">
        <v>0</v>
      </c>
      <c r="N95" s="5">
        <v>0</v>
      </c>
      <c r="O95" s="5">
        <v>23</v>
      </c>
    </row>
    <row r="96" spans="1:15" ht="18.3">
      <c r="A96" s="4">
        <v>1510</v>
      </c>
      <c r="B96" s="4" t="s">
        <v>109</v>
      </c>
      <c r="C96" s="5">
        <v>1294</v>
      </c>
      <c r="D96" s="5">
        <v>2571</v>
      </c>
      <c r="E96" s="5">
        <v>2260</v>
      </c>
      <c r="F96" s="6">
        <v>1476</v>
      </c>
      <c r="G96" s="5">
        <v>1395</v>
      </c>
      <c r="H96" s="5">
        <v>2161</v>
      </c>
      <c r="I96" s="5">
        <v>1472</v>
      </c>
      <c r="J96" s="6">
        <v>1256</v>
      </c>
      <c r="K96" s="6">
        <v>898</v>
      </c>
      <c r="L96" s="6">
        <v>775</v>
      </c>
      <c r="M96" s="5">
        <v>790</v>
      </c>
      <c r="N96" s="5">
        <v>541</v>
      </c>
      <c r="O96" s="5">
        <v>16889</v>
      </c>
    </row>
    <row r="97" spans="1:15" ht="18.3">
      <c r="A97" s="4">
        <v>1511</v>
      </c>
      <c r="B97" s="4" t="s">
        <v>110</v>
      </c>
      <c r="C97" s="5">
        <v>959</v>
      </c>
      <c r="D97" s="5">
        <v>2254</v>
      </c>
      <c r="E97" s="5">
        <v>1863</v>
      </c>
      <c r="F97" s="6">
        <v>1326</v>
      </c>
      <c r="G97" s="5">
        <v>1188</v>
      </c>
      <c r="H97" s="5">
        <v>2085</v>
      </c>
      <c r="I97" s="5">
        <v>2227</v>
      </c>
      <c r="J97" s="6">
        <v>1107</v>
      </c>
      <c r="K97" s="6">
        <v>830</v>
      </c>
      <c r="L97" s="6">
        <v>739</v>
      </c>
      <c r="M97" s="5">
        <v>692</v>
      </c>
      <c r="N97" s="5">
        <v>3648</v>
      </c>
      <c r="O97" s="5">
        <v>18918</v>
      </c>
    </row>
    <row r="98" spans="1:15" ht="18.3">
      <c r="A98" s="4">
        <v>1512</v>
      </c>
      <c r="B98" s="4" t="s">
        <v>111</v>
      </c>
      <c r="C98" s="5">
        <v>489</v>
      </c>
      <c r="D98" s="5">
        <v>1826</v>
      </c>
      <c r="E98" s="5">
        <v>1437</v>
      </c>
      <c r="F98" s="6">
        <v>384</v>
      </c>
      <c r="G98" s="5">
        <v>160</v>
      </c>
      <c r="H98" s="5">
        <v>598</v>
      </c>
      <c r="I98" s="5">
        <v>18</v>
      </c>
      <c r="J98" s="6">
        <v>405</v>
      </c>
      <c r="K98" s="6">
        <v>940</v>
      </c>
      <c r="L98" s="6">
        <v>458</v>
      </c>
      <c r="M98" s="5">
        <v>657</v>
      </c>
      <c r="N98" s="5">
        <v>678</v>
      </c>
      <c r="O98" s="5">
        <v>8050</v>
      </c>
    </row>
    <row r="99" spans="1:15" ht="18.3">
      <c r="A99" s="4">
        <v>1513</v>
      </c>
      <c r="B99" s="4" t="s">
        <v>112</v>
      </c>
      <c r="C99" s="5">
        <v>638</v>
      </c>
      <c r="D99" s="5">
        <v>3872</v>
      </c>
      <c r="E99" s="5">
        <v>1399</v>
      </c>
      <c r="F99" s="6">
        <v>3086</v>
      </c>
      <c r="G99" s="5">
        <v>807</v>
      </c>
      <c r="H99" s="5">
        <v>1822</v>
      </c>
      <c r="I99" s="5">
        <v>3827</v>
      </c>
      <c r="J99" s="6">
        <v>2841</v>
      </c>
      <c r="K99" s="6">
        <v>2021</v>
      </c>
      <c r="L99" s="6">
        <v>3047</v>
      </c>
      <c r="M99" s="5">
        <v>1642</v>
      </c>
      <c r="N99" s="5">
        <v>611</v>
      </c>
      <c r="O99" s="5">
        <v>25613</v>
      </c>
    </row>
    <row r="100" spans="1:15" ht="18.3">
      <c r="A100" s="4">
        <v>1601</v>
      </c>
      <c r="B100" s="4" t="s">
        <v>113</v>
      </c>
      <c r="C100" s="5">
        <v>3</v>
      </c>
      <c r="D100" s="5">
        <v>2</v>
      </c>
      <c r="E100" s="5">
        <v>0</v>
      </c>
      <c r="F100" s="6">
        <v>0</v>
      </c>
      <c r="G100" s="5">
        <v>0</v>
      </c>
      <c r="H100" s="5">
        <v>0</v>
      </c>
      <c r="I100" s="5">
        <v>0</v>
      </c>
      <c r="J100" s="6">
        <v>0</v>
      </c>
      <c r="K100" s="6">
        <v>0</v>
      </c>
      <c r="L100" s="6">
        <v>0</v>
      </c>
      <c r="M100" s="5">
        <v>0</v>
      </c>
      <c r="N100" s="5">
        <v>0</v>
      </c>
      <c r="O100" s="5">
        <v>5</v>
      </c>
    </row>
    <row r="101" spans="1:15" ht="18.3">
      <c r="A101" s="4">
        <v>1602</v>
      </c>
      <c r="B101" s="4" t="s">
        <v>114</v>
      </c>
      <c r="C101" s="5">
        <v>5555</v>
      </c>
      <c r="D101" s="5">
        <v>8219</v>
      </c>
      <c r="E101" s="5">
        <v>4504</v>
      </c>
      <c r="F101" s="6">
        <v>852</v>
      </c>
      <c r="G101" s="5">
        <v>236</v>
      </c>
      <c r="H101" s="5">
        <v>4248</v>
      </c>
      <c r="I101" s="5">
        <v>7883</v>
      </c>
      <c r="J101" s="6">
        <v>6228</v>
      </c>
      <c r="K101" s="6">
        <v>4338</v>
      </c>
      <c r="L101" s="6">
        <v>4933</v>
      </c>
      <c r="M101" s="5">
        <v>4598</v>
      </c>
      <c r="N101" s="5">
        <v>3390</v>
      </c>
      <c r="O101" s="5">
        <v>54984</v>
      </c>
    </row>
    <row r="102" spans="1:15" ht="18.3">
      <c r="A102" s="4">
        <v>1603</v>
      </c>
      <c r="B102" s="4" t="s">
        <v>115</v>
      </c>
      <c r="C102" s="5">
        <v>1954</v>
      </c>
      <c r="D102" s="5">
        <v>3600</v>
      </c>
      <c r="E102" s="5">
        <v>3573</v>
      </c>
      <c r="F102" s="6">
        <v>99</v>
      </c>
      <c r="G102" s="5">
        <v>34</v>
      </c>
      <c r="H102" s="5">
        <v>28</v>
      </c>
      <c r="I102" s="5">
        <v>70</v>
      </c>
      <c r="J102" s="6">
        <v>0</v>
      </c>
      <c r="K102" s="6">
        <v>0</v>
      </c>
      <c r="L102" s="6">
        <v>0</v>
      </c>
      <c r="M102" s="5">
        <v>0</v>
      </c>
      <c r="N102" s="5">
        <v>0</v>
      </c>
      <c r="O102" s="5">
        <v>9358</v>
      </c>
    </row>
    <row r="103" spans="1:15" ht="18.3">
      <c r="A103" s="4">
        <v>1604</v>
      </c>
      <c r="B103" s="4" t="s">
        <v>116</v>
      </c>
      <c r="C103" s="5">
        <v>6140</v>
      </c>
      <c r="D103" s="5">
        <v>14459</v>
      </c>
      <c r="E103" s="5">
        <v>9230</v>
      </c>
      <c r="F103" s="6">
        <v>2467</v>
      </c>
      <c r="G103" s="5">
        <v>86</v>
      </c>
      <c r="H103" s="5">
        <v>2989</v>
      </c>
      <c r="I103" s="5">
        <v>7540</v>
      </c>
      <c r="J103" s="6">
        <v>8516</v>
      </c>
      <c r="K103" s="6">
        <v>8102</v>
      </c>
      <c r="L103" s="6">
        <v>9967</v>
      </c>
      <c r="M103" s="5">
        <v>5703</v>
      </c>
      <c r="N103" s="5">
        <v>6932</v>
      </c>
      <c r="O103" s="5">
        <v>82131</v>
      </c>
    </row>
    <row r="104" spans="1:15" ht="18.3">
      <c r="A104" s="4">
        <v>1605</v>
      </c>
      <c r="B104" s="4" t="s">
        <v>117</v>
      </c>
      <c r="C104" s="5">
        <v>859</v>
      </c>
      <c r="D104" s="5">
        <v>2769</v>
      </c>
      <c r="E104" s="5">
        <v>1110</v>
      </c>
      <c r="F104" s="6">
        <v>589</v>
      </c>
      <c r="G104" s="5">
        <v>226</v>
      </c>
      <c r="H104" s="5">
        <v>973</v>
      </c>
      <c r="I104" s="5">
        <v>2370</v>
      </c>
      <c r="J104" s="6">
        <v>2091</v>
      </c>
      <c r="K104" s="6">
        <v>1383</v>
      </c>
      <c r="L104" s="6">
        <v>672</v>
      </c>
      <c r="M104" s="5">
        <v>354</v>
      </c>
      <c r="N104" s="5">
        <v>65</v>
      </c>
      <c r="O104" s="5">
        <v>13461</v>
      </c>
    </row>
    <row r="105" spans="1:15" ht="18.3">
      <c r="A105" s="4">
        <v>1606</v>
      </c>
      <c r="B105" s="4" t="s">
        <v>118</v>
      </c>
      <c r="C105" s="5">
        <v>571</v>
      </c>
      <c r="D105" s="5">
        <v>2132</v>
      </c>
      <c r="E105" s="5">
        <v>1279</v>
      </c>
      <c r="F105" s="6">
        <v>720</v>
      </c>
      <c r="G105" s="5">
        <v>321</v>
      </c>
      <c r="H105" s="5">
        <v>1066</v>
      </c>
      <c r="I105" s="5">
        <v>2182</v>
      </c>
      <c r="J105" s="6">
        <v>1053</v>
      </c>
      <c r="K105" s="6">
        <v>136</v>
      </c>
      <c r="L105" s="6">
        <v>14</v>
      </c>
      <c r="M105" s="5">
        <v>37</v>
      </c>
      <c r="N105" s="5">
        <v>4</v>
      </c>
      <c r="O105" s="5">
        <v>9515</v>
      </c>
    </row>
    <row r="106" spans="1:15" ht="18.3">
      <c r="A106" s="4">
        <v>1607</v>
      </c>
      <c r="B106" s="4" t="s">
        <v>119</v>
      </c>
      <c r="C106" s="5"/>
      <c r="D106" s="5"/>
      <c r="E106" s="5"/>
      <c r="F106" s="6"/>
      <c r="G106" s="5"/>
      <c r="H106" s="5"/>
      <c r="I106" s="5"/>
      <c r="J106" s="6">
        <v>862</v>
      </c>
      <c r="K106" s="6">
        <v>1504</v>
      </c>
      <c r="L106" s="6">
        <v>2297</v>
      </c>
      <c r="M106" s="5">
        <v>3478</v>
      </c>
      <c r="N106" s="5">
        <v>1494</v>
      </c>
      <c r="O106" s="5">
        <v>9635</v>
      </c>
    </row>
    <row r="107" spans="1:15" ht="18.3">
      <c r="A107" s="4">
        <v>1608</v>
      </c>
      <c r="B107" s="4" t="s">
        <v>120</v>
      </c>
      <c r="C107" s="5"/>
      <c r="D107" s="5"/>
      <c r="E107" s="5"/>
      <c r="F107" s="6"/>
      <c r="G107" s="5"/>
      <c r="H107" s="5"/>
      <c r="I107" s="5"/>
      <c r="J107" s="6">
        <v>0</v>
      </c>
      <c r="K107" s="6">
        <v>96</v>
      </c>
      <c r="L107" s="6">
        <v>1123</v>
      </c>
      <c r="M107" s="5">
        <v>1543</v>
      </c>
      <c r="N107" s="5">
        <v>1608</v>
      </c>
      <c r="O107" s="5">
        <v>4370</v>
      </c>
    </row>
    <row r="108" spans="1:15" ht="18.3">
      <c r="A108" s="4">
        <v>1012040</v>
      </c>
      <c r="B108" s="4" t="s">
        <v>121</v>
      </c>
      <c r="C108" s="5">
        <v>0</v>
      </c>
      <c r="D108" s="5">
        <v>0</v>
      </c>
      <c r="E108" s="5">
        <v>0</v>
      </c>
      <c r="F108" s="6">
        <v>0</v>
      </c>
      <c r="G108" s="5">
        <v>0</v>
      </c>
      <c r="H108" s="5">
        <v>0</v>
      </c>
      <c r="I108" s="5">
        <v>0</v>
      </c>
      <c r="J108" s="6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</row>
    <row r="109" spans="1:15" ht="18.3">
      <c r="A109" s="4">
        <v>1014037</v>
      </c>
      <c r="B109" s="4" t="s">
        <v>122</v>
      </c>
      <c r="C109" s="5">
        <v>0</v>
      </c>
      <c r="D109" s="5">
        <v>0</v>
      </c>
      <c r="E109" s="5">
        <v>0</v>
      </c>
      <c r="F109" s="6">
        <v>0</v>
      </c>
      <c r="G109" s="5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</row>
    <row r="110" spans="1:15" ht="18.3">
      <c r="A110" s="7" t="s">
        <v>123</v>
      </c>
      <c r="B110" s="8"/>
      <c r="C110" s="6">
        <v>198695</v>
      </c>
      <c r="D110" s="6">
        <v>492208</v>
      </c>
      <c r="E110" s="6">
        <v>282460</v>
      </c>
      <c r="F110" s="6">
        <v>256181</v>
      </c>
      <c r="G110" s="6">
        <v>211485</v>
      </c>
      <c r="H110" s="6">
        <v>352816</v>
      </c>
      <c r="I110" s="6">
        <v>468585</v>
      </c>
      <c r="J110" s="6">
        <v>437746</v>
      </c>
      <c r="K110" s="6">
        <v>328258</v>
      </c>
      <c r="L110" s="6">
        <v>346673</v>
      </c>
      <c r="M110" s="6">
        <v>342251</v>
      </c>
      <c r="N110" s="6">
        <v>271527</v>
      </c>
      <c r="O110" s="6">
        <v>3988885</v>
      </c>
    </row>
    <row r="111" spans="1:15" ht="18.3">
      <c r="A111" s="4">
        <v>2101</v>
      </c>
      <c r="B111" s="4" t="s">
        <v>124</v>
      </c>
      <c r="C111" s="5">
        <v>4219</v>
      </c>
      <c r="D111" s="5">
        <v>17802</v>
      </c>
      <c r="E111" s="5">
        <v>19502</v>
      </c>
      <c r="F111" s="6">
        <v>14469</v>
      </c>
      <c r="G111" s="5">
        <v>10561</v>
      </c>
      <c r="H111" s="5">
        <v>17703</v>
      </c>
      <c r="I111" s="5">
        <v>24948</v>
      </c>
      <c r="J111" s="6">
        <v>15802</v>
      </c>
      <c r="K111" s="6">
        <v>19596</v>
      </c>
      <c r="L111" s="6">
        <v>14246</v>
      </c>
      <c r="M111" s="9">
        <v>10498</v>
      </c>
      <c r="N111" s="9">
        <v>7448</v>
      </c>
      <c r="O111" s="9">
        <v>176794</v>
      </c>
    </row>
    <row r="112" spans="1:15" ht="18.3">
      <c r="A112" s="4">
        <v>2102</v>
      </c>
      <c r="B112" s="4" t="s">
        <v>125</v>
      </c>
      <c r="C112" s="5">
        <v>6733</v>
      </c>
      <c r="D112" s="5">
        <v>21278</v>
      </c>
      <c r="E112" s="5">
        <v>12309</v>
      </c>
      <c r="F112" s="6">
        <v>14415</v>
      </c>
      <c r="G112" s="5">
        <v>11814</v>
      </c>
      <c r="H112" s="5">
        <v>18051</v>
      </c>
      <c r="I112" s="5">
        <v>25909</v>
      </c>
      <c r="J112" s="6">
        <v>16143</v>
      </c>
      <c r="K112" s="6">
        <v>15440</v>
      </c>
      <c r="L112" s="6">
        <v>10705</v>
      </c>
      <c r="M112" s="9">
        <v>8407</v>
      </c>
      <c r="N112" s="9">
        <v>7572</v>
      </c>
      <c r="O112" s="9">
        <v>168776</v>
      </c>
    </row>
    <row r="113" spans="1:15" ht="18.3">
      <c r="A113" s="4">
        <v>2103</v>
      </c>
      <c r="B113" s="4" t="s">
        <v>126</v>
      </c>
      <c r="C113" s="5">
        <v>2315</v>
      </c>
      <c r="D113" s="5">
        <v>4938</v>
      </c>
      <c r="E113" s="5">
        <v>3195</v>
      </c>
      <c r="F113" s="6">
        <v>3289</v>
      </c>
      <c r="G113" s="5">
        <v>3329</v>
      </c>
      <c r="H113" s="5">
        <v>5261</v>
      </c>
      <c r="I113" s="5">
        <v>5307</v>
      </c>
      <c r="J113" s="6">
        <v>3667</v>
      </c>
      <c r="K113" s="6">
        <v>3712</v>
      </c>
      <c r="L113" s="6">
        <v>3480</v>
      </c>
      <c r="M113" s="9">
        <v>2906</v>
      </c>
      <c r="N113" s="9">
        <v>1775</v>
      </c>
      <c r="O113" s="9">
        <v>43174</v>
      </c>
    </row>
    <row r="114" spans="1:15" ht="18.3">
      <c r="A114" s="4">
        <v>2104</v>
      </c>
      <c r="B114" s="4" t="s">
        <v>127</v>
      </c>
      <c r="C114" s="5">
        <v>2726</v>
      </c>
      <c r="D114" s="5">
        <v>7482</v>
      </c>
      <c r="E114" s="5">
        <v>5104</v>
      </c>
      <c r="F114" s="6">
        <v>6698</v>
      </c>
      <c r="G114" s="5">
        <v>5487</v>
      </c>
      <c r="H114" s="5">
        <v>8304</v>
      </c>
      <c r="I114" s="5">
        <v>8903</v>
      </c>
      <c r="J114" s="6">
        <v>6214</v>
      </c>
      <c r="K114" s="6">
        <v>5196</v>
      </c>
      <c r="L114" s="6">
        <v>4244</v>
      </c>
      <c r="M114" s="9">
        <v>3838</v>
      </c>
      <c r="N114" s="9">
        <v>2384</v>
      </c>
      <c r="O114" s="9">
        <v>66580</v>
      </c>
    </row>
    <row r="115" spans="1:15" ht="18.3">
      <c r="A115" s="4">
        <v>2105</v>
      </c>
      <c r="B115" s="4" t="s">
        <v>128</v>
      </c>
      <c r="C115" s="5">
        <v>1402</v>
      </c>
      <c r="D115" s="5">
        <v>2760</v>
      </c>
      <c r="E115" s="5">
        <v>3528</v>
      </c>
      <c r="F115" s="6">
        <v>4426</v>
      </c>
      <c r="G115" s="5">
        <v>2112</v>
      </c>
      <c r="H115" s="5">
        <v>2772</v>
      </c>
      <c r="I115" s="5">
        <v>3572</v>
      </c>
      <c r="J115" s="6">
        <v>4713</v>
      </c>
      <c r="K115" s="6">
        <v>4761</v>
      </c>
      <c r="L115" s="6">
        <v>4085</v>
      </c>
      <c r="M115" s="9">
        <v>2000</v>
      </c>
      <c r="N115" s="9">
        <v>3278</v>
      </c>
      <c r="O115" s="9">
        <v>39409</v>
      </c>
    </row>
    <row r="116" spans="1:15" ht="18.3">
      <c r="A116" s="4">
        <v>2106</v>
      </c>
      <c r="B116" s="4" t="s">
        <v>129</v>
      </c>
      <c r="C116" s="5">
        <v>1228</v>
      </c>
      <c r="D116" s="5">
        <v>3846</v>
      </c>
      <c r="E116" s="5">
        <v>3597</v>
      </c>
      <c r="F116" s="6">
        <v>3997</v>
      </c>
      <c r="G116" s="5">
        <v>2824</v>
      </c>
      <c r="H116" s="5">
        <v>3692</v>
      </c>
      <c r="I116" s="5">
        <v>3792</v>
      </c>
      <c r="J116" s="6">
        <v>2688</v>
      </c>
      <c r="K116" s="6">
        <v>2453</v>
      </c>
      <c r="L116" s="6">
        <v>3345</v>
      </c>
      <c r="M116" s="9">
        <v>1787</v>
      </c>
      <c r="N116" s="9">
        <v>1427</v>
      </c>
      <c r="O116" s="9">
        <v>34676</v>
      </c>
    </row>
    <row r="117" spans="1:15" ht="18.3">
      <c r="A117" s="4">
        <v>2107</v>
      </c>
      <c r="B117" s="4" t="s">
        <v>130</v>
      </c>
      <c r="C117" s="5">
        <v>2045</v>
      </c>
      <c r="D117" s="5">
        <v>4320</v>
      </c>
      <c r="E117" s="5">
        <v>1814</v>
      </c>
      <c r="F117" s="6">
        <v>1438</v>
      </c>
      <c r="G117" s="5">
        <v>1584</v>
      </c>
      <c r="H117" s="5">
        <v>2786</v>
      </c>
      <c r="I117" s="5">
        <v>4659</v>
      </c>
      <c r="J117" s="6">
        <v>3984</v>
      </c>
      <c r="K117" s="6">
        <v>4574</v>
      </c>
      <c r="L117" s="6">
        <v>3239</v>
      </c>
      <c r="M117" s="9">
        <v>2437</v>
      </c>
      <c r="N117" s="9">
        <v>1519</v>
      </c>
      <c r="O117" s="9">
        <v>34399</v>
      </c>
    </row>
    <row r="118" spans="1:15" ht="18.3">
      <c r="A118" s="4">
        <v>2108</v>
      </c>
      <c r="B118" s="4" t="s">
        <v>131</v>
      </c>
      <c r="C118" s="5">
        <v>0</v>
      </c>
      <c r="D118" s="5">
        <v>0</v>
      </c>
      <c r="E118" s="5">
        <v>0</v>
      </c>
      <c r="F118" s="6">
        <v>0</v>
      </c>
      <c r="G118" s="5">
        <v>0</v>
      </c>
      <c r="H118" s="5">
        <v>0</v>
      </c>
      <c r="I118" s="5">
        <v>0</v>
      </c>
      <c r="J118" s="6">
        <v>0</v>
      </c>
      <c r="K118" s="6">
        <v>0</v>
      </c>
      <c r="L118" s="6">
        <v>0</v>
      </c>
      <c r="M118" s="9">
        <v>0</v>
      </c>
      <c r="N118" s="9">
        <v>0</v>
      </c>
      <c r="O118" s="9">
        <v>0</v>
      </c>
    </row>
    <row r="119" spans="1:15" ht="18.3">
      <c r="A119" s="4">
        <v>2109</v>
      </c>
      <c r="B119" s="4" t="s">
        <v>132</v>
      </c>
      <c r="C119" s="5">
        <v>0</v>
      </c>
      <c r="D119" s="5">
        <v>0</v>
      </c>
      <c r="E119" s="5">
        <v>0</v>
      </c>
      <c r="F119" s="6">
        <v>0</v>
      </c>
      <c r="G119" s="5">
        <v>0</v>
      </c>
      <c r="H119" s="5">
        <v>0</v>
      </c>
      <c r="I119" s="5">
        <v>0</v>
      </c>
      <c r="J119" s="6">
        <v>0</v>
      </c>
      <c r="K119" s="6">
        <v>0</v>
      </c>
      <c r="L119" s="6">
        <v>0</v>
      </c>
      <c r="M119" s="9">
        <v>0</v>
      </c>
      <c r="N119" s="9">
        <v>0</v>
      </c>
      <c r="O119" s="9">
        <v>0</v>
      </c>
    </row>
    <row r="120" spans="1:15" ht="18.3">
      <c r="A120" s="4">
        <v>2110</v>
      </c>
      <c r="B120" s="4" t="s">
        <v>133</v>
      </c>
      <c r="C120" s="5">
        <v>0</v>
      </c>
      <c r="D120" s="5">
        <v>0</v>
      </c>
      <c r="E120" s="5">
        <v>0</v>
      </c>
      <c r="F120" s="6">
        <v>0</v>
      </c>
      <c r="G120" s="5">
        <v>0</v>
      </c>
      <c r="H120" s="5">
        <v>0</v>
      </c>
      <c r="I120" s="5">
        <v>0</v>
      </c>
      <c r="J120" s="6">
        <v>0</v>
      </c>
      <c r="K120" s="6">
        <v>0</v>
      </c>
      <c r="L120" s="6">
        <v>0</v>
      </c>
      <c r="M120" s="9">
        <v>0</v>
      </c>
      <c r="N120" s="9">
        <v>0</v>
      </c>
      <c r="O120" s="9">
        <v>0</v>
      </c>
    </row>
    <row r="121" spans="1:15" ht="18.3">
      <c r="A121" s="4">
        <v>2111</v>
      </c>
      <c r="B121" s="4" t="s">
        <v>134</v>
      </c>
      <c r="C121" s="5">
        <v>953</v>
      </c>
      <c r="D121" s="5">
        <v>1839</v>
      </c>
      <c r="E121" s="5">
        <v>1304</v>
      </c>
      <c r="F121" s="6">
        <v>1424</v>
      </c>
      <c r="G121" s="5">
        <v>1240</v>
      </c>
      <c r="H121" s="5">
        <v>2327</v>
      </c>
      <c r="I121" s="5">
        <v>2056</v>
      </c>
      <c r="J121" s="6">
        <v>2021</v>
      </c>
      <c r="K121" s="6">
        <v>1512</v>
      </c>
      <c r="L121" s="6">
        <v>1356</v>
      </c>
      <c r="M121" s="9">
        <v>1160</v>
      </c>
      <c r="N121" s="9">
        <v>798</v>
      </c>
      <c r="O121" s="9">
        <v>17990</v>
      </c>
    </row>
    <row r="122" spans="1:15" ht="18.3">
      <c r="A122" s="4">
        <v>2112</v>
      </c>
      <c r="B122" s="4" t="s">
        <v>135</v>
      </c>
      <c r="C122" s="5">
        <v>0</v>
      </c>
      <c r="D122" s="5">
        <v>0</v>
      </c>
      <c r="E122" s="5">
        <v>0</v>
      </c>
      <c r="F122" s="6">
        <v>0</v>
      </c>
      <c r="G122" s="5">
        <v>0</v>
      </c>
      <c r="H122" s="5">
        <v>0</v>
      </c>
      <c r="I122" s="5">
        <v>273</v>
      </c>
      <c r="J122" s="6">
        <v>0</v>
      </c>
      <c r="K122" s="6">
        <v>0</v>
      </c>
      <c r="L122" s="6">
        <v>0</v>
      </c>
      <c r="M122" s="9">
        <v>0</v>
      </c>
      <c r="N122" s="9">
        <v>0</v>
      </c>
      <c r="O122" s="9">
        <v>273</v>
      </c>
    </row>
    <row r="123" spans="1:15" s="12" customFormat="1" ht="18.3">
      <c r="A123" s="10">
        <v>2113</v>
      </c>
      <c r="B123" s="10" t="s">
        <v>136</v>
      </c>
      <c r="C123" s="11">
        <v>4114</v>
      </c>
      <c r="D123" s="11">
        <v>9579</v>
      </c>
      <c r="E123" s="11">
        <v>5075</v>
      </c>
      <c r="F123" s="11">
        <v>3</v>
      </c>
      <c r="G123" s="11">
        <v>10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18781</v>
      </c>
    </row>
    <row r="124" spans="1:15" ht="18.3">
      <c r="A124" s="13">
        <v>2207</v>
      </c>
      <c r="B124" s="14" t="s">
        <v>137</v>
      </c>
      <c r="C124" s="5">
        <v>0</v>
      </c>
      <c r="D124" s="5">
        <v>0</v>
      </c>
      <c r="E124" s="5">
        <v>0</v>
      </c>
      <c r="F124" s="6">
        <v>0</v>
      </c>
      <c r="G124" s="5">
        <v>0</v>
      </c>
      <c r="H124" s="5">
        <v>0</v>
      </c>
      <c r="I124" s="5">
        <v>0</v>
      </c>
      <c r="J124" s="6">
        <v>0</v>
      </c>
      <c r="K124" s="6">
        <v>0</v>
      </c>
      <c r="L124" s="6">
        <v>0</v>
      </c>
      <c r="M124" s="9">
        <v>0</v>
      </c>
      <c r="N124" s="9">
        <v>0</v>
      </c>
      <c r="O124" s="9">
        <v>0</v>
      </c>
    </row>
    <row r="125" spans="1:15" ht="18.3">
      <c r="A125" s="4">
        <v>2114</v>
      </c>
      <c r="B125" s="15" t="s">
        <v>138</v>
      </c>
      <c r="C125" s="5">
        <v>2399</v>
      </c>
      <c r="D125" s="5">
        <v>6291</v>
      </c>
      <c r="E125" s="5">
        <v>3559</v>
      </c>
      <c r="F125" s="6">
        <v>6831</v>
      </c>
      <c r="G125" s="5">
        <v>7055</v>
      </c>
      <c r="H125" s="5">
        <v>6450</v>
      </c>
      <c r="I125" s="5">
        <v>5558</v>
      </c>
      <c r="J125" s="6">
        <v>5463</v>
      </c>
      <c r="K125" s="6">
        <v>3904</v>
      </c>
      <c r="L125" s="6">
        <v>3069</v>
      </c>
      <c r="M125" s="9">
        <v>3410</v>
      </c>
      <c r="N125" s="9">
        <v>1529</v>
      </c>
      <c r="O125" s="9">
        <v>55518</v>
      </c>
    </row>
    <row r="126" spans="1:15" ht="18.3">
      <c r="A126" s="4">
        <v>2115</v>
      </c>
      <c r="B126" s="15" t="s">
        <v>139</v>
      </c>
      <c r="C126" s="5">
        <v>2012</v>
      </c>
      <c r="D126" s="5">
        <v>4336</v>
      </c>
      <c r="E126" s="5">
        <v>4004</v>
      </c>
      <c r="F126" s="6">
        <v>4587</v>
      </c>
      <c r="G126" s="5">
        <v>4563</v>
      </c>
      <c r="H126" s="5">
        <v>7513</v>
      </c>
      <c r="I126" s="5">
        <v>7106</v>
      </c>
      <c r="J126" s="6">
        <v>4489</v>
      </c>
      <c r="K126" s="6">
        <v>3760</v>
      </c>
      <c r="L126" s="6">
        <v>2924</v>
      </c>
      <c r="M126" s="9">
        <v>2371</v>
      </c>
      <c r="N126" s="9">
        <v>1611</v>
      </c>
      <c r="O126" s="9">
        <v>49276</v>
      </c>
    </row>
    <row r="127" spans="1:15" s="12" customFormat="1" ht="18.3">
      <c r="A127" s="10">
        <v>2116</v>
      </c>
      <c r="B127" s="10" t="s">
        <v>140</v>
      </c>
      <c r="C127" s="11">
        <v>2159</v>
      </c>
      <c r="D127" s="11">
        <v>7166</v>
      </c>
      <c r="E127" s="11">
        <v>8821</v>
      </c>
      <c r="F127" s="11">
        <v>19265</v>
      </c>
      <c r="G127" s="11">
        <v>17297</v>
      </c>
      <c r="H127" s="11">
        <v>30311</v>
      </c>
      <c r="I127" s="11">
        <v>23404</v>
      </c>
      <c r="J127" s="11">
        <v>17925</v>
      </c>
      <c r="K127" s="11">
        <v>13798</v>
      </c>
      <c r="L127" s="11">
        <v>13096</v>
      </c>
      <c r="M127" s="11">
        <v>18542</v>
      </c>
      <c r="N127" s="11">
        <v>12880</v>
      </c>
      <c r="O127" s="11">
        <v>184664</v>
      </c>
    </row>
    <row r="128" spans="1:15" ht="18.3">
      <c r="A128" s="4">
        <v>2117</v>
      </c>
      <c r="B128" s="4" t="s">
        <v>141</v>
      </c>
      <c r="C128" s="5"/>
      <c r="D128" s="5"/>
      <c r="E128" s="5"/>
      <c r="F128" s="6"/>
      <c r="G128" s="5"/>
      <c r="H128" s="5">
        <v>621</v>
      </c>
      <c r="I128" s="5">
        <v>1050</v>
      </c>
      <c r="J128" s="6">
        <v>1</v>
      </c>
      <c r="K128" s="6">
        <v>0</v>
      </c>
      <c r="L128" s="6">
        <v>0</v>
      </c>
      <c r="M128" s="9">
        <v>0</v>
      </c>
      <c r="N128" s="9">
        <v>0</v>
      </c>
      <c r="O128" s="9">
        <v>1672</v>
      </c>
    </row>
    <row r="129" spans="1:15" s="12" customFormat="1" ht="18.3">
      <c r="A129" s="10">
        <v>2202</v>
      </c>
      <c r="B129" s="10" t="s">
        <v>142</v>
      </c>
      <c r="C129" s="11">
        <v>0</v>
      </c>
      <c r="D129" s="11">
        <v>1406</v>
      </c>
      <c r="E129" s="11">
        <v>0</v>
      </c>
      <c r="F129" s="11">
        <v>0</v>
      </c>
      <c r="G129" s="11">
        <v>502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1908</v>
      </c>
    </row>
    <row r="130" spans="1:15" ht="18.3">
      <c r="A130" s="4">
        <v>1110008</v>
      </c>
      <c r="B130" s="4" t="s">
        <v>143</v>
      </c>
      <c r="C130" s="5">
        <v>0</v>
      </c>
      <c r="D130" s="5">
        <v>0</v>
      </c>
      <c r="E130" s="5">
        <v>0</v>
      </c>
      <c r="F130" s="6">
        <v>0</v>
      </c>
      <c r="G130" s="5">
        <v>0</v>
      </c>
      <c r="H130" s="5">
        <v>0</v>
      </c>
      <c r="I130" s="5">
        <v>0</v>
      </c>
      <c r="J130" s="6">
        <v>0</v>
      </c>
      <c r="K130" s="6">
        <v>0</v>
      </c>
      <c r="L130" s="6">
        <v>0</v>
      </c>
      <c r="M130" s="9">
        <v>0</v>
      </c>
      <c r="N130" s="9">
        <v>0</v>
      </c>
      <c r="O130" s="9">
        <v>0</v>
      </c>
    </row>
    <row r="131" spans="1:15" ht="18.3">
      <c r="A131" s="4">
        <v>1110009</v>
      </c>
      <c r="B131" s="4" t="s">
        <v>144</v>
      </c>
      <c r="C131" s="5">
        <v>0</v>
      </c>
      <c r="D131" s="5">
        <v>0</v>
      </c>
      <c r="E131" s="5">
        <v>0</v>
      </c>
      <c r="F131" s="6">
        <v>0</v>
      </c>
      <c r="G131" s="5">
        <v>0</v>
      </c>
      <c r="H131" s="5">
        <v>0</v>
      </c>
      <c r="I131" s="5">
        <v>0</v>
      </c>
      <c r="J131" s="6">
        <v>0</v>
      </c>
      <c r="K131" s="6">
        <v>0</v>
      </c>
      <c r="L131" s="6">
        <v>0</v>
      </c>
      <c r="M131" s="9">
        <v>0</v>
      </c>
      <c r="N131" s="9">
        <v>0</v>
      </c>
      <c r="O131" s="9">
        <v>0</v>
      </c>
    </row>
    <row r="132" spans="1:15" ht="18.3">
      <c r="A132" s="7" t="s">
        <v>145</v>
      </c>
      <c r="B132" s="7" t="s">
        <v>145</v>
      </c>
      <c r="C132" s="6">
        <v>32305</v>
      </c>
      <c r="D132" s="6">
        <v>93043</v>
      </c>
      <c r="E132" s="6">
        <v>71812</v>
      </c>
      <c r="F132" s="6">
        <v>80842</v>
      </c>
      <c r="G132" s="6">
        <v>68378</v>
      </c>
      <c r="H132" s="6">
        <v>105791</v>
      </c>
      <c r="I132" s="6">
        <v>116537</v>
      </c>
      <c r="J132" s="6">
        <v>83110</v>
      </c>
      <c r="K132" s="6">
        <v>78706</v>
      </c>
      <c r="L132" s="6">
        <v>63789</v>
      </c>
      <c r="M132" s="6">
        <v>57356</v>
      </c>
      <c r="N132" s="6">
        <v>42221</v>
      </c>
      <c r="O132" s="6">
        <v>893890</v>
      </c>
    </row>
    <row r="133" spans="1:15" ht="18.3">
      <c r="A133" s="4">
        <v>3101</v>
      </c>
      <c r="B133" s="4" t="s">
        <v>146</v>
      </c>
      <c r="C133" s="5">
        <v>0</v>
      </c>
      <c r="D133" s="5">
        <v>0</v>
      </c>
      <c r="E133" s="5">
        <v>0</v>
      </c>
      <c r="F133" s="6">
        <v>1285</v>
      </c>
      <c r="G133" s="5">
        <v>1751</v>
      </c>
      <c r="H133" s="5">
        <v>2642</v>
      </c>
      <c r="I133" s="5">
        <v>3215</v>
      </c>
      <c r="J133" s="6">
        <v>3706</v>
      </c>
      <c r="K133" s="6">
        <v>3036</v>
      </c>
      <c r="L133" s="6">
        <v>3038</v>
      </c>
      <c r="M133" s="5">
        <v>2455</v>
      </c>
      <c r="N133" s="5">
        <v>2381</v>
      </c>
      <c r="O133" s="5">
        <v>23509</v>
      </c>
    </row>
    <row r="134" spans="1:15" ht="18.3">
      <c r="A134" s="4">
        <v>3102</v>
      </c>
      <c r="B134" s="4" t="s">
        <v>147</v>
      </c>
      <c r="C134" s="5">
        <v>0</v>
      </c>
      <c r="D134" s="5">
        <v>0</v>
      </c>
      <c r="E134" s="5">
        <v>0</v>
      </c>
      <c r="F134" s="6">
        <v>1100</v>
      </c>
      <c r="G134" s="5">
        <v>1277</v>
      </c>
      <c r="H134" s="5">
        <v>2052</v>
      </c>
      <c r="I134" s="5">
        <v>3473</v>
      </c>
      <c r="J134" s="6">
        <v>2905</v>
      </c>
      <c r="K134" s="6">
        <v>2835</v>
      </c>
      <c r="L134" s="6">
        <v>2289</v>
      </c>
      <c r="M134" s="5">
        <v>2114</v>
      </c>
      <c r="N134" s="5">
        <v>1798</v>
      </c>
      <c r="O134" s="5">
        <v>19843</v>
      </c>
    </row>
    <row r="135" spans="1:15" ht="18.3">
      <c r="A135" s="4">
        <v>3103</v>
      </c>
      <c r="B135" s="4" t="s">
        <v>148</v>
      </c>
      <c r="C135" s="5">
        <v>701</v>
      </c>
      <c r="D135" s="5">
        <v>7</v>
      </c>
      <c r="E135" s="5">
        <v>1320</v>
      </c>
      <c r="F135" s="6">
        <v>921</v>
      </c>
      <c r="G135" s="5">
        <v>914</v>
      </c>
      <c r="H135" s="5">
        <v>1297</v>
      </c>
      <c r="I135" s="5">
        <v>2682</v>
      </c>
      <c r="J135" s="6">
        <v>2282</v>
      </c>
      <c r="K135" s="6">
        <v>1659</v>
      </c>
      <c r="L135" s="6">
        <v>1518</v>
      </c>
      <c r="M135" s="5">
        <v>1977</v>
      </c>
      <c r="N135" s="5">
        <v>1115</v>
      </c>
      <c r="O135" s="5">
        <v>16393</v>
      </c>
    </row>
    <row r="136" spans="1:15" ht="18.3">
      <c r="A136" s="4">
        <v>3104</v>
      </c>
      <c r="B136" s="4" t="s">
        <v>149</v>
      </c>
      <c r="C136" s="5">
        <v>210</v>
      </c>
      <c r="D136" s="5">
        <v>151</v>
      </c>
      <c r="E136" s="5">
        <v>1096</v>
      </c>
      <c r="F136" s="6">
        <v>1038</v>
      </c>
      <c r="G136" s="5">
        <v>871</v>
      </c>
      <c r="H136" s="5">
        <v>1110</v>
      </c>
      <c r="I136" s="5">
        <v>2430</v>
      </c>
      <c r="J136" s="6">
        <v>2032</v>
      </c>
      <c r="K136" s="6">
        <v>1727</v>
      </c>
      <c r="L136" s="6">
        <v>1568</v>
      </c>
      <c r="M136" s="5">
        <v>2046</v>
      </c>
      <c r="N136" s="5">
        <v>1104</v>
      </c>
      <c r="O136" s="5">
        <v>15383</v>
      </c>
    </row>
    <row r="137" spans="1:15" ht="18.3">
      <c r="A137" s="4">
        <v>3105</v>
      </c>
      <c r="B137" s="4" t="s">
        <v>150</v>
      </c>
      <c r="C137" s="5">
        <v>159</v>
      </c>
      <c r="D137" s="5">
        <v>47</v>
      </c>
      <c r="E137" s="5">
        <v>1317</v>
      </c>
      <c r="F137" s="6">
        <v>1303</v>
      </c>
      <c r="G137" s="5">
        <v>910</v>
      </c>
      <c r="H137" s="5">
        <v>1317</v>
      </c>
      <c r="I137" s="5">
        <v>2691</v>
      </c>
      <c r="J137" s="6">
        <v>2141</v>
      </c>
      <c r="K137" s="6">
        <v>1872</v>
      </c>
      <c r="L137" s="6">
        <v>1520</v>
      </c>
      <c r="M137" s="5">
        <v>1849</v>
      </c>
      <c r="N137" s="5">
        <v>1327</v>
      </c>
      <c r="O137" s="5">
        <v>16453</v>
      </c>
    </row>
    <row r="138" spans="1:15" ht="18.3">
      <c r="A138" s="4">
        <v>1014042</v>
      </c>
      <c r="B138" s="4" t="s">
        <v>151</v>
      </c>
      <c r="C138" s="5">
        <v>0</v>
      </c>
      <c r="D138" s="5">
        <v>0</v>
      </c>
      <c r="E138" s="5">
        <v>0</v>
      </c>
      <c r="F138" s="6">
        <v>0</v>
      </c>
      <c r="G138" s="5">
        <v>0</v>
      </c>
      <c r="H138" s="5">
        <v>0</v>
      </c>
      <c r="I138" s="5">
        <v>0</v>
      </c>
      <c r="J138" s="6">
        <v>0</v>
      </c>
      <c r="K138" s="6">
        <v>0</v>
      </c>
      <c r="L138" s="6">
        <v>0</v>
      </c>
      <c r="M138" s="5">
        <v>0</v>
      </c>
      <c r="N138" s="5">
        <v>0</v>
      </c>
      <c r="O138" s="5">
        <v>0</v>
      </c>
    </row>
    <row r="139" spans="1:15" ht="18.3">
      <c r="A139" s="4">
        <v>1014043</v>
      </c>
      <c r="B139" s="4" t="s">
        <v>152</v>
      </c>
      <c r="C139" s="5">
        <v>0</v>
      </c>
      <c r="D139" s="5">
        <v>0</v>
      </c>
      <c r="E139" s="5">
        <v>0</v>
      </c>
      <c r="F139" s="6">
        <v>0</v>
      </c>
      <c r="G139" s="5">
        <v>0</v>
      </c>
      <c r="H139" s="5">
        <v>0</v>
      </c>
      <c r="I139" s="5">
        <v>0</v>
      </c>
      <c r="J139" s="6">
        <v>0</v>
      </c>
      <c r="K139" s="6">
        <v>0</v>
      </c>
      <c r="L139" s="6">
        <v>0</v>
      </c>
      <c r="M139" s="5">
        <v>0</v>
      </c>
      <c r="N139" s="5">
        <v>0</v>
      </c>
      <c r="O139" s="5">
        <v>0</v>
      </c>
    </row>
    <row r="140" spans="1:15" ht="18.3">
      <c r="A140" s="4">
        <v>3110</v>
      </c>
      <c r="B140" s="4" t="s">
        <v>153</v>
      </c>
      <c r="C140" s="5">
        <v>0</v>
      </c>
      <c r="D140" s="5">
        <v>0</v>
      </c>
      <c r="E140" s="5">
        <v>0</v>
      </c>
      <c r="F140" s="6">
        <v>0</v>
      </c>
      <c r="G140" s="5">
        <v>0</v>
      </c>
      <c r="H140" s="5">
        <v>0</v>
      </c>
      <c r="I140" s="5">
        <v>0</v>
      </c>
      <c r="J140" s="6">
        <v>0</v>
      </c>
      <c r="K140" s="6">
        <v>0</v>
      </c>
      <c r="L140" s="6">
        <v>0</v>
      </c>
      <c r="M140" s="5">
        <v>0</v>
      </c>
      <c r="N140" s="5">
        <v>0</v>
      </c>
      <c r="O140" s="5">
        <v>0</v>
      </c>
    </row>
    <row r="141" spans="1:15" ht="18.3">
      <c r="A141" s="7"/>
      <c r="B141" s="7" t="s">
        <v>154</v>
      </c>
      <c r="C141" s="6">
        <v>1070</v>
      </c>
      <c r="D141" s="6">
        <v>205</v>
      </c>
      <c r="E141" s="6">
        <v>3733</v>
      </c>
      <c r="F141" s="6">
        <v>5647</v>
      </c>
      <c r="G141" s="6">
        <v>5723</v>
      </c>
      <c r="H141" s="6">
        <v>8418</v>
      </c>
      <c r="I141" s="6">
        <v>14491</v>
      </c>
      <c r="J141" s="6">
        <v>13066</v>
      </c>
      <c r="K141" s="6">
        <v>11129</v>
      </c>
      <c r="L141" s="6">
        <v>9933</v>
      </c>
      <c r="M141" s="6">
        <v>10441</v>
      </c>
      <c r="N141" s="6">
        <v>7725</v>
      </c>
      <c r="O141" s="6">
        <v>91581</v>
      </c>
    </row>
    <row r="142" spans="1:15" ht="18.3">
      <c r="A142" s="4">
        <v>4101</v>
      </c>
      <c r="B142" s="4" t="s">
        <v>155</v>
      </c>
      <c r="C142" s="5">
        <v>0</v>
      </c>
      <c r="D142" s="5">
        <v>0</v>
      </c>
      <c r="E142" s="5">
        <v>0</v>
      </c>
      <c r="F142" s="6">
        <v>0</v>
      </c>
      <c r="G142" s="5">
        <v>0</v>
      </c>
      <c r="H142" s="5">
        <v>0</v>
      </c>
      <c r="I142" s="5">
        <v>0</v>
      </c>
      <c r="J142" s="6">
        <v>0</v>
      </c>
      <c r="K142" s="6">
        <v>0</v>
      </c>
      <c r="L142" s="6">
        <v>0</v>
      </c>
      <c r="M142" s="5">
        <v>0</v>
      </c>
      <c r="N142" s="5">
        <v>0</v>
      </c>
      <c r="O142" s="5">
        <v>0</v>
      </c>
    </row>
    <row r="143" spans="1:15" ht="18.3">
      <c r="A143" s="4">
        <v>4102</v>
      </c>
      <c r="B143" s="4" t="s">
        <v>156</v>
      </c>
      <c r="C143" s="5">
        <v>276</v>
      </c>
      <c r="D143" s="5">
        <v>844</v>
      </c>
      <c r="E143" s="5">
        <v>447</v>
      </c>
      <c r="F143" s="6">
        <v>492</v>
      </c>
      <c r="G143" s="5">
        <v>477</v>
      </c>
      <c r="H143" s="5">
        <v>525</v>
      </c>
      <c r="I143" s="5">
        <v>986</v>
      </c>
      <c r="J143" s="6">
        <v>188</v>
      </c>
      <c r="K143" s="6">
        <v>249</v>
      </c>
      <c r="L143" s="6">
        <v>143</v>
      </c>
      <c r="M143" s="5">
        <v>138</v>
      </c>
      <c r="N143" s="5">
        <v>147</v>
      </c>
      <c r="O143" s="5">
        <v>4912</v>
      </c>
    </row>
    <row r="144" spans="1:15" ht="18.3">
      <c r="A144" s="4">
        <v>4103</v>
      </c>
      <c r="B144" s="4" t="s">
        <v>157</v>
      </c>
      <c r="C144" s="5">
        <v>268</v>
      </c>
      <c r="D144" s="5">
        <v>746</v>
      </c>
      <c r="E144" s="5">
        <v>540</v>
      </c>
      <c r="F144" s="6">
        <v>495</v>
      </c>
      <c r="G144" s="5">
        <v>416</v>
      </c>
      <c r="H144" s="5">
        <v>304</v>
      </c>
      <c r="I144" s="5">
        <v>938</v>
      </c>
      <c r="J144" s="6">
        <v>206</v>
      </c>
      <c r="K144" s="6">
        <v>187</v>
      </c>
      <c r="L144" s="6">
        <v>141</v>
      </c>
      <c r="M144" s="5">
        <v>142</v>
      </c>
      <c r="N144" s="5">
        <v>159</v>
      </c>
      <c r="O144" s="5">
        <v>4542</v>
      </c>
    </row>
    <row r="145" spans="1:15" ht="18.3">
      <c r="A145" s="4">
        <v>4104</v>
      </c>
      <c r="B145" s="4" t="s">
        <v>158</v>
      </c>
      <c r="C145" s="5">
        <v>293</v>
      </c>
      <c r="D145" s="5">
        <v>584</v>
      </c>
      <c r="E145" s="5">
        <v>261</v>
      </c>
      <c r="F145" s="6">
        <v>317</v>
      </c>
      <c r="G145" s="5">
        <v>351</v>
      </c>
      <c r="H145" s="5">
        <v>551</v>
      </c>
      <c r="I145" s="5">
        <v>699</v>
      </c>
      <c r="J145" s="6">
        <v>602</v>
      </c>
      <c r="K145" s="6">
        <v>443</v>
      </c>
      <c r="L145" s="6">
        <v>573</v>
      </c>
      <c r="M145" s="5">
        <v>765</v>
      </c>
      <c r="N145" s="5">
        <v>267</v>
      </c>
      <c r="O145" s="5">
        <v>5706</v>
      </c>
    </row>
    <row r="146" spans="1:15" ht="18.3">
      <c r="A146" s="4">
        <v>4105</v>
      </c>
      <c r="B146" s="16" t="s">
        <v>159</v>
      </c>
      <c r="C146" s="5">
        <v>298</v>
      </c>
      <c r="D146" s="5">
        <v>782</v>
      </c>
      <c r="E146" s="5">
        <v>344</v>
      </c>
      <c r="F146" s="6">
        <v>330</v>
      </c>
      <c r="G146" s="5">
        <v>314</v>
      </c>
      <c r="H146" s="5">
        <v>498</v>
      </c>
      <c r="I146" s="5">
        <v>751</v>
      </c>
      <c r="J146" s="6">
        <v>636</v>
      </c>
      <c r="K146" s="6">
        <v>633</v>
      </c>
      <c r="L146" s="6">
        <v>522</v>
      </c>
      <c r="M146" s="5">
        <v>573</v>
      </c>
      <c r="N146" s="5">
        <v>342</v>
      </c>
      <c r="O146" s="5">
        <v>6023</v>
      </c>
    </row>
    <row r="147" spans="1:15" ht="18.3">
      <c r="A147" s="4">
        <v>4106</v>
      </c>
      <c r="B147" s="16" t="s">
        <v>160</v>
      </c>
      <c r="C147" s="5">
        <v>472</v>
      </c>
      <c r="D147" s="5">
        <v>977</v>
      </c>
      <c r="E147" s="5">
        <v>436</v>
      </c>
      <c r="F147" s="6">
        <v>117</v>
      </c>
      <c r="G147" s="5">
        <v>86</v>
      </c>
      <c r="H147" s="5">
        <v>363</v>
      </c>
      <c r="I147" s="5">
        <v>368</v>
      </c>
      <c r="J147" s="6">
        <v>1134</v>
      </c>
      <c r="K147" s="6">
        <v>792</v>
      </c>
      <c r="L147" s="6">
        <v>716</v>
      </c>
      <c r="M147" s="5">
        <v>415</v>
      </c>
      <c r="N147" s="5">
        <v>457</v>
      </c>
      <c r="O147" s="5">
        <v>6333</v>
      </c>
    </row>
    <row r="148" spans="1:15" ht="18.3">
      <c r="A148" s="4">
        <v>4107</v>
      </c>
      <c r="B148" s="16" t="s">
        <v>161</v>
      </c>
      <c r="C148" s="5">
        <v>1627</v>
      </c>
      <c r="D148" s="5">
        <v>2446</v>
      </c>
      <c r="E148" s="5">
        <v>979</v>
      </c>
      <c r="F148" s="6">
        <v>200</v>
      </c>
      <c r="G148" s="5">
        <v>68</v>
      </c>
      <c r="H148" s="5">
        <v>495</v>
      </c>
      <c r="I148" s="5">
        <v>1230</v>
      </c>
      <c r="J148" s="6">
        <v>13</v>
      </c>
      <c r="K148" s="6">
        <v>0</v>
      </c>
      <c r="L148" s="6">
        <v>1559</v>
      </c>
      <c r="M148" s="5">
        <v>744</v>
      </c>
      <c r="N148" s="5">
        <v>1416</v>
      </c>
      <c r="O148" s="5">
        <v>10777</v>
      </c>
    </row>
    <row r="149" spans="1:15" ht="18.3">
      <c r="A149" s="4">
        <v>4108</v>
      </c>
      <c r="B149" s="16" t="s">
        <v>162</v>
      </c>
      <c r="C149" s="5"/>
      <c r="D149" s="5"/>
      <c r="E149" s="5"/>
      <c r="F149" s="6"/>
      <c r="G149" s="5"/>
      <c r="H149" s="5">
        <v>0</v>
      </c>
      <c r="I149" s="5">
        <v>0</v>
      </c>
      <c r="J149" s="6">
        <v>0</v>
      </c>
      <c r="K149" s="6">
        <v>0</v>
      </c>
      <c r="L149" s="6">
        <v>0</v>
      </c>
      <c r="M149" s="5">
        <v>0</v>
      </c>
      <c r="N149" s="5">
        <v>0</v>
      </c>
      <c r="O149" s="5">
        <v>0</v>
      </c>
    </row>
    <row r="150" spans="1:15" ht="18.3">
      <c r="A150" s="4">
        <v>4109</v>
      </c>
      <c r="B150" s="16" t="s">
        <v>163</v>
      </c>
      <c r="C150" s="5"/>
      <c r="D150" s="5"/>
      <c r="E150" s="5"/>
      <c r="F150" s="6"/>
      <c r="G150" s="5"/>
      <c r="H150" s="5">
        <v>0</v>
      </c>
      <c r="I150" s="5">
        <v>0</v>
      </c>
      <c r="J150" s="6">
        <v>0</v>
      </c>
      <c r="K150" s="6">
        <v>0</v>
      </c>
      <c r="L150" s="6">
        <v>0</v>
      </c>
      <c r="M150" s="5">
        <v>0</v>
      </c>
      <c r="N150" s="5">
        <v>0</v>
      </c>
      <c r="O150" s="5">
        <v>0</v>
      </c>
    </row>
    <row r="151" spans="1:15" ht="18.3">
      <c r="A151" s="4">
        <v>4110</v>
      </c>
      <c r="B151" s="16" t="s">
        <v>164</v>
      </c>
      <c r="C151" s="5"/>
      <c r="D151" s="5"/>
      <c r="E151" s="5"/>
      <c r="F151" s="6"/>
      <c r="G151" s="5"/>
      <c r="H151" s="5">
        <v>567</v>
      </c>
      <c r="I151" s="5">
        <v>1917</v>
      </c>
      <c r="J151" s="6">
        <v>701</v>
      </c>
      <c r="K151" s="6">
        <v>650</v>
      </c>
      <c r="L151" s="6">
        <v>203</v>
      </c>
      <c r="M151" s="5">
        <v>11</v>
      </c>
      <c r="N151" s="5">
        <v>0</v>
      </c>
      <c r="O151" s="5">
        <v>4049</v>
      </c>
    </row>
    <row r="152" spans="1:15" ht="18.3">
      <c r="A152" s="4">
        <v>4111</v>
      </c>
      <c r="B152" s="16" t="s">
        <v>165</v>
      </c>
      <c r="C152" s="5"/>
      <c r="D152" s="5"/>
      <c r="E152" s="5"/>
      <c r="F152" s="6"/>
      <c r="G152" s="5"/>
      <c r="H152" s="5">
        <v>541</v>
      </c>
      <c r="I152" s="5">
        <v>2212</v>
      </c>
      <c r="J152" s="6">
        <v>1229</v>
      </c>
      <c r="K152" s="6">
        <v>1074</v>
      </c>
      <c r="L152" s="6">
        <v>575</v>
      </c>
      <c r="M152" s="5">
        <v>76</v>
      </c>
      <c r="N152" s="5">
        <v>23</v>
      </c>
      <c r="O152" s="5">
        <v>5730</v>
      </c>
    </row>
    <row r="153" spans="1:15" ht="18.3">
      <c r="A153" s="4">
        <v>4112</v>
      </c>
      <c r="B153" s="16" t="s">
        <v>166</v>
      </c>
      <c r="C153" s="5"/>
      <c r="D153" s="5"/>
      <c r="E153" s="5"/>
      <c r="F153" s="6"/>
      <c r="G153" s="5"/>
      <c r="H153" s="5">
        <v>654</v>
      </c>
      <c r="I153" s="5">
        <v>2379</v>
      </c>
      <c r="J153" s="6">
        <v>686</v>
      </c>
      <c r="K153" s="6">
        <v>523</v>
      </c>
      <c r="L153" s="6">
        <v>322</v>
      </c>
      <c r="M153" s="5">
        <v>220</v>
      </c>
      <c r="N153" s="5">
        <v>125</v>
      </c>
      <c r="O153" s="5">
        <v>4909</v>
      </c>
    </row>
    <row r="154" spans="1:15" ht="18.3">
      <c r="A154" s="4">
        <v>4113</v>
      </c>
      <c r="B154" s="16" t="s">
        <v>167</v>
      </c>
      <c r="C154" s="5"/>
      <c r="D154" s="5"/>
      <c r="E154" s="5"/>
      <c r="F154" s="6"/>
      <c r="G154" s="5"/>
      <c r="H154" s="5">
        <v>652</v>
      </c>
      <c r="I154" s="5">
        <v>3468</v>
      </c>
      <c r="J154" s="6">
        <v>2081</v>
      </c>
      <c r="K154" s="6">
        <v>972</v>
      </c>
      <c r="L154" s="6">
        <v>743</v>
      </c>
      <c r="M154" s="5">
        <v>1351</v>
      </c>
      <c r="N154" s="5">
        <v>442</v>
      </c>
      <c r="O154" s="5">
        <v>9709</v>
      </c>
    </row>
    <row r="155" spans="1:15" ht="18.3">
      <c r="A155" s="4">
        <v>4201</v>
      </c>
      <c r="B155" s="16" t="s">
        <v>168</v>
      </c>
      <c r="C155" s="5">
        <v>2428</v>
      </c>
      <c r="D155" s="5">
        <v>5706</v>
      </c>
      <c r="E155" s="5">
        <v>3873</v>
      </c>
      <c r="F155" s="6">
        <v>3888</v>
      </c>
      <c r="G155" s="5">
        <v>3744</v>
      </c>
      <c r="H155" s="5">
        <v>6735</v>
      </c>
      <c r="I155" s="5">
        <v>8320</v>
      </c>
      <c r="J155" s="6">
        <v>3756</v>
      </c>
      <c r="K155" s="6">
        <v>6084</v>
      </c>
      <c r="L155" s="6">
        <v>6871</v>
      </c>
      <c r="M155" s="5">
        <v>6092</v>
      </c>
      <c r="N155" s="5">
        <v>4210</v>
      </c>
      <c r="O155" s="5">
        <v>61707</v>
      </c>
    </row>
    <row r="156" spans="1:15" ht="18.3">
      <c r="A156" s="17">
        <v>4202</v>
      </c>
      <c r="B156" s="18" t="s">
        <v>169</v>
      </c>
      <c r="C156" s="5"/>
      <c r="D156" s="5"/>
      <c r="E156" s="5">
        <v>386</v>
      </c>
      <c r="F156" s="6">
        <v>365</v>
      </c>
      <c r="G156" s="5">
        <v>297</v>
      </c>
      <c r="H156" s="5">
        <v>365</v>
      </c>
      <c r="I156" s="5">
        <v>553</v>
      </c>
      <c r="J156" s="6">
        <v>367</v>
      </c>
      <c r="K156" s="6">
        <v>311</v>
      </c>
      <c r="L156" s="6">
        <v>242</v>
      </c>
      <c r="M156" s="5">
        <v>586</v>
      </c>
      <c r="N156" s="5">
        <v>200</v>
      </c>
      <c r="O156" s="5">
        <v>3672</v>
      </c>
    </row>
    <row r="157" spans="1:15" ht="18.3">
      <c r="A157" s="17">
        <v>4203</v>
      </c>
      <c r="B157" s="18" t="s">
        <v>170</v>
      </c>
      <c r="C157" s="5"/>
      <c r="D157" s="5"/>
      <c r="E157" s="5">
        <v>333</v>
      </c>
      <c r="F157" s="6">
        <v>245</v>
      </c>
      <c r="G157" s="5">
        <v>257</v>
      </c>
      <c r="H157" s="5">
        <v>355</v>
      </c>
      <c r="I157" s="5">
        <v>334</v>
      </c>
      <c r="J157" s="6">
        <v>392</v>
      </c>
      <c r="K157" s="6">
        <v>353</v>
      </c>
      <c r="L157" s="6">
        <v>217</v>
      </c>
      <c r="M157" s="5">
        <v>321</v>
      </c>
      <c r="N157" s="5">
        <v>178</v>
      </c>
      <c r="O157" s="5">
        <v>2985</v>
      </c>
    </row>
    <row r="158" spans="1:15" ht="18.3">
      <c r="A158" s="7"/>
      <c r="B158" s="7" t="s">
        <v>171</v>
      </c>
      <c r="C158" s="6">
        <v>5662</v>
      </c>
      <c r="D158" s="6">
        <v>12085</v>
      </c>
      <c r="E158" s="6">
        <v>7599</v>
      </c>
      <c r="F158" s="6">
        <v>6449</v>
      </c>
      <c r="G158" s="6">
        <v>6010</v>
      </c>
      <c r="H158" s="6">
        <v>12605</v>
      </c>
      <c r="I158" s="6">
        <v>24155</v>
      </c>
      <c r="J158" s="6">
        <v>11991</v>
      </c>
      <c r="K158" s="6">
        <v>12271</v>
      </c>
      <c r="L158" s="6">
        <v>12827</v>
      </c>
      <c r="M158" s="6">
        <v>11434</v>
      </c>
      <c r="N158" s="6">
        <v>7966</v>
      </c>
      <c r="O158" s="6">
        <v>131054</v>
      </c>
    </row>
    <row r="159" spans="1:15" ht="18.3">
      <c r="A159" s="4">
        <v>5101</v>
      </c>
      <c r="B159" s="4" t="s">
        <v>172</v>
      </c>
      <c r="C159" s="5">
        <v>0</v>
      </c>
      <c r="D159" s="5">
        <v>0</v>
      </c>
      <c r="E159" s="5">
        <v>0</v>
      </c>
      <c r="F159" s="6">
        <v>0</v>
      </c>
      <c r="G159" s="5">
        <v>0</v>
      </c>
      <c r="H159" s="5">
        <v>0</v>
      </c>
      <c r="I159" s="5">
        <v>0</v>
      </c>
      <c r="J159" s="6">
        <v>0</v>
      </c>
      <c r="K159" s="6">
        <v>0</v>
      </c>
      <c r="L159" s="6">
        <v>0</v>
      </c>
      <c r="M159" s="5">
        <v>0</v>
      </c>
      <c r="N159" s="5">
        <v>0</v>
      </c>
      <c r="O159" s="5">
        <v>0</v>
      </c>
    </row>
    <row r="160" spans="1:15" ht="18.3">
      <c r="A160" s="4">
        <v>5102</v>
      </c>
      <c r="B160" s="4" t="s">
        <v>173</v>
      </c>
      <c r="C160" s="5">
        <v>0</v>
      </c>
      <c r="D160" s="5">
        <v>0</v>
      </c>
      <c r="E160" s="5">
        <v>0</v>
      </c>
      <c r="F160" s="6">
        <v>0</v>
      </c>
      <c r="G160" s="5">
        <v>0</v>
      </c>
      <c r="H160" s="5">
        <v>0</v>
      </c>
      <c r="I160" s="5">
        <v>0</v>
      </c>
      <c r="J160" s="6">
        <v>0</v>
      </c>
      <c r="K160" s="6">
        <v>0</v>
      </c>
      <c r="L160" s="6">
        <v>0</v>
      </c>
      <c r="M160" s="5">
        <v>0</v>
      </c>
      <c r="N160" s="5">
        <v>0</v>
      </c>
      <c r="O160" s="5">
        <v>0</v>
      </c>
    </row>
    <row r="161" spans="1:15" ht="18.3">
      <c r="A161" s="4">
        <v>5103</v>
      </c>
      <c r="B161" s="4" t="s">
        <v>174</v>
      </c>
      <c r="C161" s="5">
        <v>0</v>
      </c>
      <c r="D161" s="5">
        <v>0</v>
      </c>
      <c r="E161" s="5">
        <v>0</v>
      </c>
      <c r="F161" s="6">
        <v>0</v>
      </c>
      <c r="G161" s="5">
        <v>0</v>
      </c>
      <c r="H161" s="5">
        <v>0</v>
      </c>
      <c r="I161" s="5">
        <v>0</v>
      </c>
      <c r="J161" s="6">
        <v>0</v>
      </c>
      <c r="K161" s="6">
        <v>0</v>
      </c>
      <c r="L161" s="6">
        <v>0</v>
      </c>
      <c r="M161" s="5">
        <v>0</v>
      </c>
      <c r="N161" s="5">
        <v>0</v>
      </c>
      <c r="O161" s="5">
        <v>0</v>
      </c>
    </row>
    <row r="162" spans="1:15" ht="18.3">
      <c r="A162" s="4">
        <v>5201</v>
      </c>
      <c r="B162" s="4" t="s">
        <v>175</v>
      </c>
      <c r="C162" s="5">
        <v>0</v>
      </c>
      <c r="D162" s="5">
        <v>0</v>
      </c>
      <c r="E162" s="5">
        <v>0</v>
      </c>
      <c r="F162" s="6">
        <v>0</v>
      </c>
      <c r="G162" s="5">
        <v>0</v>
      </c>
      <c r="H162" s="5">
        <v>0</v>
      </c>
      <c r="I162" s="5">
        <v>0</v>
      </c>
      <c r="J162" s="6">
        <v>0</v>
      </c>
      <c r="K162" s="6">
        <v>0</v>
      </c>
      <c r="L162" s="6">
        <v>0</v>
      </c>
      <c r="M162" s="5">
        <v>0</v>
      </c>
      <c r="N162" s="5">
        <v>0</v>
      </c>
      <c r="O162" s="5">
        <v>0</v>
      </c>
    </row>
    <row r="163" spans="1:15" ht="18.3">
      <c r="A163" s="4">
        <v>5202</v>
      </c>
      <c r="B163" s="4" t="s">
        <v>176</v>
      </c>
      <c r="C163" s="5">
        <v>0</v>
      </c>
      <c r="D163" s="5">
        <v>0</v>
      </c>
      <c r="E163" s="5">
        <v>0</v>
      </c>
      <c r="F163" s="6">
        <v>0</v>
      </c>
      <c r="G163" s="5">
        <v>0</v>
      </c>
      <c r="H163" s="5">
        <v>0</v>
      </c>
      <c r="I163" s="5">
        <v>0</v>
      </c>
      <c r="J163" s="6">
        <v>0</v>
      </c>
      <c r="K163" s="6">
        <v>0</v>
      </c>
      <c r="L163" s="6">
        <v>0</v>
      </c>
      <c r="M163" s="5">
        <v>0</v>
      </c>
      <c r="N163" s="5">
        <v>0</v>
      </c>
      <c r="O163" s="5">
        <v>0</v>
      </c>
    </row>
    <row r="164" spans="1:15" ht="18.3">
      <c r="A164" s="4">
        <v>5204</v>
      </c>
      <c r="B164" s="4" t="s">
        <v>177</v>
      </c>
      <c r="C164" s="5">
        <v>0</v>
      </c>
      <c r="D164" s="5">
        <v>0</v>
      </c>
      <c r="E164" s="5">
        <v>0</v>
      </c>
      <c r="F164" s="6">
        <v>0</v>
      </c>
      <c r="G164" s="5">
        <v>0</v>
      </c>
      <c r="H164" s="5">
        <v>0</v>
      </c>
      <c r="I164" s="5">
        <v>0</v>
      </c>
      <c r="J164" s="6">
        <v>0</v>
      </c>
      <c r="K164" s="6">
        <v>0</v>
      </c>
      <c r="L164" s="6">
        <v>0</v>
      </c>
      <c r="M164" s="5">
        <v>0</v>
      </c>
      <c r="N164" s="5">
        <v>0</v>
      </c>
      <c r="O164" s="5">
        <v>0</v>
      </c>
    </row>
    <row r="165" spans="1:15" ht="18.3">
      <c r="A165" s="4">
        <v>5205</v>
      </c>
      <c r="B165" s="4" t="s">
        <v>178</v>
      </c>
      <c r="C165" s="5">
        <v>0</v>
      </c>
      <c r="D165" s="5">
        <v>0</v>
      </c>
      <c r="E165" s="5">
        <v>0</v>
      </c>
      <c r="F165" s="6">
        <v>0</v>
      </c>
      <c r="G165" s="5">
        <v>0</v>
      </c>
      <c r="H165" s="5">
        <v>0</v>
      </c>
      <c r="I165" s="5">
        <v>19</v>
      </c>
      <c r="J165" s="6">
        <v>0</v>
      </c>
      <c r="K165" s="6">
        <v>0</v>
      </c>
      <c r="L165" s="6">
        <v>0</v>
      </c>
      <c r="M165" s="5">
        <v>0</v>
      </c>
      <c r="N165" s="5">
        <v>0</v>
      </c>
      <c r="O165" s="5">
        <v>19</v>
      </c>
    </row>
    <row r="166" spans="1:15" ht="18.3">
      <c r="A166" s="4">
        <v>5206</v>
      </c>
      <c r="B166" s="4" t="s">
        <v>179</v>
      </c>
      <c r="C166" s="5">
        <v>0</v>
      </c>
      <c r="D166" s="5">
        <v>0</v>
      </c>
      <c r="E166" s="5">
        <v>0</v>
      </c>
      <c r="F166" s="6">
        <v>0</v>
      </c>
      <c r="G166" s="5">
        <v>0</v>
      </c>
      <c r="H166" s="5">
        <v>0</v>
      </c>
      <c r="I166" s="5">
        <v>0</v>
      </c>
      <c r="J166" s="6">
        <v>0</v>
      </c>
      <c r="K166" s="6">
        <v>0</v>
      </c>
      <c r="L166" s="6">
        <v>0</v>
      </c>
      <c r="M166" s="5">
        <v>0</v>
      </c>
      <c r="N166" s="5">
        <v>0</v>
      </c>
      <c r="O166" s="5">
        <v>0</v>
      </c>
    </row>
    <row r="167" spans="1:15" ht="18.3">
      <c r="A167" s="4">
        <v>5301</v>
      </c>
      <c r="B167" s="4" t="s">
        <v>180</v>
      </c>
      <c r="C167" s="5">
        <v>0</v>
      </c>
      <c r="D167" s="5">
        <v>0</v>
      </c>
      <c r="E167" s="5">
        <v>0</v>
      </c>
      <c r="F167" s="6">
        <v>0</v>
      </c>
      <c r="G167" s="5">
        <v>0</v>
      </c>
      <c r="H167" s="5">
        <v>0</v>
      </c>
      <c r="I167" s="5">
        <v>0</v>
      </c>
      <c r="J167" s="6">
        <v>0</v>
      </c>
      <c r="K167" s="6">
        <v>0</v>
      </c>
      <c r="L167" s="6">
        <v>0</v>
      </c>
      <c r="M167" s="5">
        <v>101</v>
      </c>
      <c r="N167" s="5">
        <v>0</v>
      </c>
      <c r="O167" s="5">
        <v>101</v>
      </c>
    </row>
    <row r="168" spans="1:15" ht="18.3">
      <c r="A168" s="4">
        <v>5302</v>
      </c>
      <c r="B168" s="4" t="s">
        <v>181</v>
      </c>
      <c r="C168" s="5">
        <v>0</v>
      </c>
      <c r="D168" s="5">
        <v>0</v>
      </c>
      <c r="E168" s="5">
        <v>0</v>
      </c>
      <c r="F168" s="6">
        <v>0</v>
      </c>
      <c r="G168" s="5">
        <v>0</v>
      </c>
      <c r="H168" s="5">
        <v>0</v>
      </c>
      <c r="I168" s="5">
        <v>0</v>
      </c>
      <c r="J168" s="6">
        <v>0</v>
      </c>
      <c r="K168" s="6">
        <v>0</v>
      </c>
      <c r="L168" s="6">
        <v>0</v>
      </c>
      <c r="M168" s="5">
        <v>0</v>
      </c>
      <c r="N168" s="5">
        <v>0</v>
      </c>
      <c r="O168" s="5">
        <v>0</v>
      </c>
    </row>
    <row r="169" spans="1:15" ht="18.3">
      <c r="A169" s="4">
        <v>5401</v>
      </c>
      <c r="B169" s="4" t="s">
        <v>182</v>
      </c>
      <c r="C169" s="5">
        <v>0</v>
      </c>
      <c r="D169" s="5">
        <v>0</v>
      </c>
      <c r="E169" s="5">
        <v>0</v>
      </c>
      <c r="F169" s="6">
        <v>0</v>
      </c>
      <c r="G169" s="5">
        <v>0</v>
      </c>
      <c r="H169" s="5">
        <v>0</v>
      </c>
      <c r="I169" s="5">
        <v>0</v>
      </c>
      <c r="J169" s="6">
        <v>0</v>
      </c>
      <c r="K169" s="6">
        <v>0</v>
      </c>
      <c r="L169" s="6">
        <v>0</v>
      </c>
      <c r="M169" s="5">
        <v>0</v>
      </c>
      <c r="N169" s="5">
        <v>0</v>
      </c>
      <c r="O169" s="5">
        <v>0</v>
      </c>
    </row>
    <row r="170" spans="1:15" ht="18.3">
      <c r="A170" s="4">
        <v>5402</v>
      </c>
      <c r="B170" s="4" t="s">
        <v>183</v>
      </c>
      <c r="C170" s="5">
        <v>0</v>
      </c>
      <c r="D170" s="5">
        <v>16</v>
      </c>
      <c r="E170" s="5">
        <v>1</v>
      </c>
      <c r="F170" s="6">
        <v>0</v>
      </c>
      <c r="G170" s="5">
        <v>0</v>
      </c>
      <c r="H170" s="5">
        <v>1</v>
      </c>
      <c r="I170" s="5">
        <v>0</v>
      </c>
      <c r="J170" s="6">
        <v>0</v>
      </c>
      <c r="K170" s="6">
        <v>0</v>
      </c>
      <c r="L170" s="6">
        <v>0</v>
      </c>
      <c r="M170" s="5">
        <v>0</v>
      </c>
      <c r="N170" s="5">
        <v>0</v>
      </c>
      <c r="O170" s="5">
        <v>18</v>
      </c>
    </row>
    <row r="171" spans="1:15" ht="18.3">
      <c r="A171" s="4">
        <v>5403</v>
      </c>
      <c r="B171" s="4" t="s">
        <v>184</v>
      </c>
      <c r="C171" s="5">
        <v>0</v>
      </c>
      <c r="D171" s="5">
        <v>0</v>
      </c>
      <c r="E171" s="5">
        <v>0</v>
      </c>
      <c r="F171" s="6">
        <v>0</v>
      </c>
      <c r="G171" s="5">
        <v>0</v>
      </c>
      <c r="H171" s="5">
        <v>0</v>
      </c>
      <c r="I171" s="5">
        <v>0</v>
      </c>
      <c r="J171" s="6">
        <v>0</v>
      </c>
      <c r="K171" s="6">
        <v>0</v>
      </c>
      <c r="L171" s="6">
        <v>0</v>
      </c>
      <c r="M171" s="5">
        <v>0</v>
      </c>
      <c r="N171" s="5">
        <v>0</v>
      </c>
      <c r="O171" s="5">
        <v>0</v>
      </c>
    </row>
    <row r="172" spans="1:15" ht="18.3">
      <c r="A172" s="4">
        <v>5404</v>
      </c>
      <c r="B172" s="4" t="s">
        <v>185</v>
      </c>
      <c r="C172" s="5">
        <v>0</v>
      </c>
      <c r="D172" s="5">
        <v>0</v>
      </c>
      <c r="E172" s="5">
        <v>0</v>
      </c>
      <c r="F172" s="6">
        <v>0</v>
      </c>
      <c r="G172" s="5">
        <v>0</v>
      </c>
      <c r="H172" s="5">
        <v>0</v>
      </c>
      <c r="I172" s="5">
        <v>0</v>
      </c>
      <c r="J172" s="6">
        <v>0</v>
      </c>
      <c r="K172" s="6">
        <v>0</v>
      </c>
      <c r="L172" s="6">
        <v>0</v>
      </c>
      <c r="M172" s="5">
        <v>0</v>
      </c>
      <c r="N172" s="5">
        <v>0</v>
      </c>
      <c r="O172" s="5">
        <v>0</v>
      </c>
    </row>
    <row r="173" spans="1:15" ht="18.3">
      <c r="A173" s="4">
        <v>5501</v>
      </c>
      <c r="B173" s="4" t="s">
        <v>186</v>
      </c>
      <c r="C173" s="5">
        <v>0</v>
      </c>
      <c r="D173" s="5">
        <v>0</v>
      </c>
      <c r="E173" s="5">
        <v>0</v>
      </c>
      <c r="F173" s="6">
        <v>0</v>
      </c>
      <c r="G173" s="5">
        <v>0</v>
      </c>
      <c r="H173" s="5">
        <v>0</v>
      </c>
      <c r="I173" s="5">
        <v>0</v>
      </c>
      <c r="J173" s="6">
        <v>0</v>
      </c>
      <c r="K173" s="6">
        <v>0</v>
      </c>
      <c r="L173" s="6">
        <v>0</v>
      </c>
      <c r="M173" s="5">
        <v>0</v>
      </c>
      <c r="N173" s="5">
        <v>0</v>
      </c>
      <c r="O173" s="5">
        <v>0</v>
      </c>
    </row>
    <row r="174" spans="1:15" ht="18.3">
      <c r="A174" s="4">
        <v>5601</v>
      </c>
      <c r="B174" s="4" t="s">
        <v>187</v>
      </c>
      <c r="C174" s="5">
        <v>0</v>
      </c>
      <c r="D174" s="5">
        <v>0</v>
      </c>
      <c r="E174" s="5">
        <v>0</v>
      </c>
      <c r="F174" s="6">
        <v>0</v>
      </c>
      <c r="G174" s="5">
        <v>0</v>
      </c>
      <c r="H174" s="5">
        <v>0</v>
      </c>
      <c r="I174" s="5">
        <v>0</v>
      </c>
      <c r="J174" s="6">
        <v>0</v>
      </c>
      <c r="K174" s="6">
        <v>0</v>
      </c>
      <c r="L174" s="6">
        <v>0</v>
      </c>
      <c r="M174" s="5">
        <v>0</v>
      </c>
      <c r="N174" s="5">
        <v>0</v>
      </c>
      <c r="O174" s="5">
        <v>0</v>
      </c>
    </row>
    <row r="175" spans="1:15" ht="18.3">
      <c r="A175" s="7"/>
      <c r="B175" s="7" t="s">
        <v>188</v>
      </c>
      <c r="C175" s="6">
        <v>0</v>
      </c>
      <c r="D175" s="6">
        <v>16</v>
      </c>
      <c r="E175" s="6">
        <v>1</v>
      </c>
      <c r="F175" s="6">
        <v>0</v>
      </c>
      <c r="G175" s="6">
        <v>0</v>
      </c>
      <c r="H175" s="6">
        <v>1</v>
      </c>
      <c r="I175" s="6">
        <v>19</v>
      </c>
      <c r="J175" s="6">
        <v>0</v>
      </c>
      <c r="K175" s="6">
        <v>0</v>
      </c>
      <c r="L175" s="6">
        <v>0</v>
      </c>
      <c r="M175" s="6">
        <v>101</v>
      </c>
      <c r="N175" s="6">
        <v>0</v>
      </c>
      <c r="O175" s="6">
        <v>138</v>
      </c>
    </row>
    <row r="176" spans="1:15" ht="28" customHeight="1">
      <c r="A176" s="19" t="s">
        <v>189</v>
      </c>
      <c r="B176" s="19"/>
      <c r="C176" s="20">
        <v>237732</v>
      </c>
      <c r="D176" s="20">
        <v>597557</v>
      </c>
      <c r="E176" s="20">
        <v>365605</v>
      </c>
      <c r="F176" s="21">
        <v>349119</v>
      </c>
      <c r="G176" s="20">
        <v>291596</v>
      </c>
      <c r="H176" s="20">
        <v>479631</v>
      </c>
      <c r="I176" s="20">
        <v>623787</v>
      </c>
      <c r="J176" s="21">
        <v>545913</v>
      </c>
      <c r="K176" s="21">
        <v>430364</v>
      </c>
      <c r="L176" s="21">
        <v>433222</v>
      </c>
      <c r="M176" s="20">
        <v>421583</v>
      </c>
      <c r="N176" s="20">
        <v>329439</v>
      </c>
      <c r="O176" s="20">
        <v>5105548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2A1B-49C4-4D8E-9F2E-DBA200B49F30}">
  <dimension ref="A1:N170"/>
  <sheetViews>
    <sheetView rightToLeft="1" topLeftCell="A17" zoomScale="88" zoomScaleNormal="88" workbookViewId="0">
      <selection activeCell="B11" sqref="B11"/>
    </sheetView>
  </sheetViews>
  <sheetFormatPr defaultRowHeight="14.4"/>
  <cols>
    <col min="2" max="2" width="45.05078125" bestFit="1" customWidth="1"/>
    <col min="3" max="3" width="11.20703125" style="22" bestFit="1" customWidth="1"/>
    <col min="4" max="4" width="11.20703125" style="22" customWidth="1"/>
    <col min="5" max="5" width="11.20703125" style="40" customWidth="1"/>
    <col min="7" max="7" width="13.3671875" customWidth="1"/>
    <col min="9" max="9" width="29.578125" bestFit="1" customWidth="1"/>
    <col min="10" max="10" width="15.83984375" bestFit="1" customWidth="1"/>
    <col min="11" max="11" width="11.3125" bestFit="1" customWidth="1"/>
    <col min="12" max="12" width="25.15625" bestFit="1" customWidth="1"/>
  </cols>
  <sheetData>
    <row r="1" spans="1:14">
      <c r="A1" s="1" t="s">
        <v>12</v>
      </c>
      <c r="B1" s="1" t="s">
        <v>13</v>
      </c>
      <c r="C1" s="2" t="s">
        <v>14</v>
      </c>
      <c r="D1" s="2" t="s">
        <v>190</v>
      </c>
      <c r="E1" s="24" t="s">
        <v>191</v>
      </c>
    </row>
    <row r="2" spans="1:14" ht="18.3">
      <c r="A2" s="4">
        <v>1205</v>
      </c>
      <c r="B2" s="4" t="s">
        <v>44</v>
      </c>
      <c r="C2" s="25">
        <v>234231</v>
      </c>
      <c r="D2" s="5">
        <f>C2/12</f>
        <v>19519.25</v>
      </c>
      <c r="E2" s="26">
        <f>C2/$I$7</f>
        <v>4.5877739275000454E-2</v>
      </c>
      <c r="G2" s="27" t="s">
        <v>123</v>
      </c>
      <c r="H2" s="8" t="s">
        <v>192</v>
      </c>
      <c r="I2" s="6">
        <v>3988885</v>
      </c>
      <c r="J2" s="28">
        <f>I2/$I$7</f>
        <v>0.78128439885395262</v>
      </c>
      <c r="L2">
        <v>47</v>
      </c>
      <c r="M2" t="s">
        <v>193</v>
      </c>
    </row>
    <row r="3" spans="1:14" ht="18.3">
      <c r="A3" s="4">
        <v>1308</v>
      </c>
      <c r="B3" s="4" t="s">
        <v>75</v>
      </c>
      <c r="C3" s="25">
        <v>214575</v>
      </c>
      <c r="D3" s="5">
        <f t="shared" ref="D3:D66" si="0">C3/12</f>
        <v>17881.25</v>
      </c>
      <c r="E3" s="26">
        <f t="shared" ref="E3:E66" si="1">C3/$I$7</f>
        <v>4.2027809747357189E-2</v>
      </c>
      <c r="G3" s="27" t="s">
        <v>145</v>
      </c>
      <c r="H3" s="7" t="s">
        <v>194</v>
      </c>
      <c r="I3" s="6">
        <v>893890</v>
      </c>
      <c r="J3" s="28">
        <f t="shared" ref="J3:J6" si="2">I3/$I$7</f>
        <v>0.17508208717262083</v>
      </c>
      <c r="L3">
        <v>129</v>
      </c>
    </row>
    <row r="4" spans="1:14" ht="18.3">
      <c r="A4" s="4">
        <v>2116</v>
      </c>
      <c r="B4" s="4" t="s">
        <v>140</v>
      </c>
      <c r="C4" s="25">
        <v>184664</v>
      </c>
      <c r="D4" s="5">
        <f t="shared" si="0"/>
        <v>15388.666666666666</v>
      </c>
      <c r="E4" s="26">
        <f t="shared" si="1"/>
        <v>3.6169280946922837E-2</v>
      </c>
      <c r="G4" s="27" t="s">
        <v>154</v>
      </c>
      <c r="H4" s="7" t="s">
        <v>195</v>
      </c>
      <c r="I4" s="6">
        <v>91581</v>
      </c>
      <c r="J4" s="28">
        <f t="shared" si="2"/>
        <v>1.7937545587662675E-2</v>
      </c>
    </row>
    <row r="5" spans="1:14" ht="18.3">
      <c r="A5" s="4">
        <v>2101</v>
      </c>
      <c r="B5" s="4" t="s">
        <v>124</v>
      </c>
      <c r="C5" s="25">
        <v>176794</v>
      </c>
      <c r="D5" s="5">
        <f t="shared" si="0"/>
        <v>14732.833333333334</v>
      </c>
      <c r="E5" s="26">
        <f t="shared" si="1"/>
        <v>3.462782055912509E-2</v>
      </c>
      <c r="G5" s="27" t="s">
        <v>171</v>
      </c>
      <c r="H5" s="7" t="s">
        <v>196</v>
      </c>
      <c r="I5" s="6">
        <v>131054</v>
      </c>
      <c r="J5" s="28">
        <f t="shared" si="2"/>
        <v>2.5668938966003259E-2</v>
      </c>
    </row>
    <row r="6" spans="1:14" ht="18.3">
      <c r="A6" s="4">
        <v>1401</v>
      </c>
      <c r="B6" s="4" t="s">
        <v>79</v>
      </c>
      <c r="C6" s="25">
        <v>174621</v>
      </c>
      <c r="D6" s="5">
        <f t="shared" si="0"/>
        <v>14551.75</v>
      </c>
      <c r="E6" s="26">
        <f t="shared" si="1"/>
        <v>3.4202205130575598E-2</v>
      </c>
      <c r="G6" s="27" t="s">
        <v>188</v>
      </c>
      <c r="H6" s="7" t="s">
        <v>197</v>
      </c>
      <c r="I6" s="6">
        <v>138</v>
      </c>
      <c r="J6" s="28">
        <f t="shared" si="2"/>
        <v>2.7029419760621192E-5</v>
      </c>
    </row>
    <row r="7" spans="1:14" ht="20.399999999999999">
      <c r="A7" s="4">
        <v>1402</v>
      </c>
      <c r="B7" s="4" t="s">
        <v>80</v>
      </c>
      <c r="C7" s="25">
        <v>169604</v>
      </c>
      <c r="D7" s="5">
        <f t="shared" si="0"/>
        <v>14133.666666666666</v>
      </c>
      <c r="E7" s="26">
        <f t="shared" si="1"/>
        <v>3.3219548616524611E-2</v>
      </c>
      <c r="G7" s="19" t="s">
        <v>189</v>
      </c>
      <c r="H7" s="19"/>
      <c r="I7" s="20">
        <v>5105548</v>
      </c>
    </row>
    <row r="8" spans="1:14" ht="18.3">
      <c r="A8" s="4">
        <v>2102</v>
      </c>
      <c r="B8" s="4" t="s">
        <v>125</v>
      </c>
      <c r="C8" s="25">
        <v>168776</v>
      </c>
      <c r="D8" s="5">
        <f t="shared" si="0"/>
        <v>14064.666666666666</v>
      </c>
      <c r="E8" s="26">
        <f t="shared" si="1"/>
        <v>3.3057372097960884E-2</v>
      </c>
    </row>
    <row r="9" spans="1:14" ht="20.100000000000001">
      <c r="A9" s="4">
        <v>1207</v>
      </c>
      <c r="B9" s="4" t="s">
        <v>46</v>
      </c>
      <c r="C9" s="25">
        <v>167491</v>
      </c>
      <c r="D9" s="5">
        <f t="shared" si="0"/>
        <v>13957.583333333334</v>
      </c>
      <c r="E9" s="26">
        <f t="shared" si="1"/>
        <v>3.2805685109610176E-2</v>
      </c>
      <c r="L9" s="29" t="s">
        <v>198</v>
      </c>
      <c r="M9" s="30" t="s">
        <v>199</v>
      </c>
    </row>
    <row r="10" spans="1:14" ht="18.3">
      <c r="A10" s="4">
        <v>1106</v>
      </c>
      <c r="B10" s="4" t="s">
        <v>20</v>
      </c>
      <c r="C10" s="25">
        <v>138469</v>
      </c>
      <c r="D10" s="5">
        <f t="shared" si="0"/>
        <v>11539.083333333334</v>
      </c>
      <c r="E10" s="26">
        <f t="shared" si="1"/>
        <v>2.7121280614735187E-2</v>
      </c>
      <c r="L10" s="27" t="s">
        <v>200</v>
      </c>
      <c r="M10" s="5">
        <v>17881.25</v>
      </c>
    </row>
    <row r="11" spans="1:14" ht="18.3">
      <c r="A11" s="4">
        <v>1206</v>
      </c>
      <c r="B11" s="4" t="s">
        <v>45</v>
      </c>
      <c r="C11" s="25">
        <v>127724</v>
      </c>
      <c r="D11" s="5">
        <f t="shared" si="0"/>
        <v>10643.666666666666</v>
      </c>
      <c r="E11" s="26">
        <f t="shared" si="1"/>
        <v>2.5016707315257833E-2</v>
      </c>
      <c r="L11" s="27" t="s">
        <v>201</v>
      </c>
      <c r="M11" s="5">
        <v>7872.5</v>
      </c>
    </row>
    <row r="12" spans="1:14" ht="18.3">
      <c r="A12" s="4">
        <v>1115</v>
      </c>
      <c r="B12" s="4" t="s">
        <v>29</v>
      </c>
      <c r="C12" s="25">
        <v>125337</v>
      </c>
      <c r="D12" s="5">
        <f t="shared" si="0"/>
        <v>10444.75</v>
      </c>
      <c r="E12" s="26">
        <f t="shared" si="1"/>
        <v>2.4549176699543322E-2</v>
      </c>
      <c r="L12" s="27" t="s">
        <v>202</v>
      </c>
      <c r="M12" s="5">
        <v>7100.333333333333</v>
      </c>
      <c r="N12" s="25">
        <f>SUM(M10:M12)</f>
        <v>32854.083333333336</v>
      </c>
    </row>
    <row r="13" spans="1:14" ht="18.3">
      <c r="A13" s="4">
        <v>1309</v>
      </c>
      <c r="B13" s="4" t="s">
        <v>76</v>
      </c>
      <c r="C13" s="5">
        <v>94470</v>
      </c>
      <c r="D13" s="5">
        <f t="shared" si="0"/>
        <v>7872.5</v>
      </c>
      <c r="E13" s="26">
        <f t="shared" si="1"/>
        <v>1.8503400614390462E-2</v>
      </c>
      <c r="L13" s="31"/>
    </row>
    <row r="14" spans="1:14" ht="18.3">
      <c r="A14" s="4">
        <v>1105</v>
      </c>
      <c r="B14" s="4" t="s">
        <v>19</v>
      </c>
      <c r="C14" s="5">
        <v>89447</v>
      </c>
      <c r="D14" s="5">
        <f t="shared" si="0"/>
        <v>7453.916666666667</v>
      </c>
      <c r="E14" s="26">
        <f t="shared" si="1"/>
        <v>1.7519568908175968E-2</v>
      </c>
      <c r="L14" s="31"/>
    </row>
    <row r="15" spans="1:14" ht="20.100000000000001">
      <c r="A15" s="4">
        <v>1102</v>
      </c>
      <c r="B15" s="4" t="s">
        <v>16</v>
      </c>
      <c r="C15" s="5">
        <v>87262</v>
      </c>
      <c r="D15" s="5">
        <f t="shared" si="0"/>
        <v>7271.833333333333</v>
      </c>
      <c r="E15" s="26">
        <f t="shared" si="1"/>
        <v>1.7091603095299467E-2</v>
      </c>
      <c r="I15" s="27" t="s">
        <v>203</v>
      </c>
      <c r="L15" s="29" t="s">
        <v>204</v>
      </c>
    </row>
    <row r="16" spans="1:14" ht="18.3">
      <c r="A16" s="4">
        <v>1310</v>
      </c>
      <c r="B16" s="4" t="s">
        <v>77</v>
      </c>
      <c r="C16" s="5">
        <v>85204</v>
      </c>
      <c r="D16" s="5">
        <f t="shared" si="0"/>
        <v>7100.333333333333</v>
      </c>
      <c r="E16" s="26">
        <f t="shared" si="1"/>
        <v>1.6688512183217159E-2</v>
      </c>
      <c r="I16" s="27" t="str">
        <f>B5</f>
        <v>دو قلو مغزدار نیلو(55 گ 24 ع )</v>
      </c>
      <c r="J16" s="5">
        <f>D5</f>
        <v>14732.833333333334</v>
      </c>
      <c r="L16" s="27" t="s">
        <v>205</v>
      </c>
      <c r="M16" s="32">
        <v>19519.25</v>
      </c>
    </row>
    <row r="17" spans="1:14" ht="18.3">
      <c r="A17" s="4">
        <v>1209</v>
      </c>
      <c r="B17" s="4" t="s">
        <v>48</v>
      </c>
      <c r="C17" s="5">
        <v>83908</v>
      </c>
      <c r="D17" s="5">
        <f t="shared" si="0"/>
        <v>6992.333333333333</v>
      </c>
      <c r="E17" s="26">
        <f t="shared" si="1"/>
        <v>1.6434670675900022E-2</v>
      </c>
      <c r="I17" s="27" t="str">
        <f>B8</f>
        <v>کاپ دوقلو  بنیس(60 گ 24 ع )</v>
      </c>
      <c r="J17" s="5">
        <f>D8</f>
        <v>14064.666666666666</v>
      </c>
      <c r="L17" s="27" t="s">
        <v>46</v>
      </c>
      <c r="M17" s="32">
        <v>13957.583333333334</v>
      </c>
    </row>
    <row r="18" spans="1:14" ht="18.3">
      <c r="A18" s="4">
        <v>1119</v>
      </c>
      <c r="B18" s="4" t="s">
        <v>33</v>
      </c>
      <c r="C18" s="5">
        <v>82905</v>
      </c>
      <c r="D18" s="5">
        <f t="shared" si="0"/>
        <v>6908.75</v>
      </c>
      <c r="E18" s="26">
        <f t="shared" si="1"/>
        <v>1.6238217719234057E-2</v>
      </c>
      <c r="L18" s="27" t="s">
        <v>45</v>
      </c>
      <c r="M18" s="32">
        <v>10643.666666666666</v>
      </c>
      <c r="N18" s="25">
        <f>SUM(M16:M18)</f>
        <v>44120.5</v>
      </c>
    </row>
    <row r="19" spans="1:14" ht="18.3">
      <c r="A19" s="4">
        <v>1604</v>
      </c>
      <c r="B19" s="4" t="s">
        <v>116</v>
      </c>
      <c r="C19" s="5">
        <v>82131</v>
      </c>
      <c r="D19" s="5">
        <f t="shared" si="0"/>
        <v>6844.25</v>
      </c>
      <c r="E19" s="26">
        <f t="shared" si="1"/>
        <v>1.6086617930141878E-2</v>
      </c>
      <c r="J19" s="25">
        <f>SUM(J16:J17)</f>
        <v>28797.5</v>
      </c>
      <c r="L19" s="31"/>
    </row>
    <row r="20" spans="1:14" ht="18.3">
      <c r="A20" s="4">
        <v>1219</v>
      </c>
      <c r="B20" s="4" t="s">
        <v>58</v>
      </c>
      <c r="C20" s="5">
        <v>78360</v>
      </c>
      <c r="D20" s="5">
        <f t="shared" si="0"/>
        <v>6530</v>
      </c>
      <c r="E20" s="26">
        <f t="shared" si="1"/>
        <v>1.5348009655378815E-2</v>
      </c>
      <c r="L20" s="31"/>
    </row>
    <row r="21" spans="1:14" ht="18.3">
      <c r="A21" s="4">
        <v>1122</v>
      </c>
      <c r="B21" s="4" t="s">
        <v>34</v>
      </c>
      <c r="C21" s="5">
        <v>72318</v>
      </c>
      <c r="D21" s="5">
        <f t="shared" si="0"/>
        <v>6026.5</v>
      </c>
      <c r="E21" s="26">
        <f t="shared" si="1"/>
        <v>1.416459114672901E-2</v>
      </c>
      <c r="I21" s="27" t="s">
        <v>206</v>
      </c>
      <c r="L21" s="31"/>
    </row>
    <row r="22" spans="1:14" ht="18.3">
      <c r="A22" s="4">
        <v>1107</v>
      </c>
      <c r="B22" s="4" t="s">
        <v>21</v>
      </c>
      <c r="C22" s="5">
        <v>68672</v>
      </c>
      <c r="D22" s="5">
        <f t="shared" si="0"/>
        <v>5722.666666666667</v>
      </c>
      <c r="E22" s="26">
        <f t="shared" si="1"/>
        <v>1.3450466042038974E-2</v>
      </c>
      <c r="I22" s="27" t="s">
        <v>37</v>
      </c>
      <c r="J22" s="5">
        <v>10315</v>
      </c>
      <c r="L22" s="27" t="s">
        <v>207</v>
      </c>
    </row>
    <row r="23" spans="1:14" ht="18.3">
      <c r="A23" s="4">
        <v>1404</v>
      </c>
      <c r="B23" s="4" t="s">
        <v>82</v>
      </c>
      <c r="C23" s="5">
        <v>67857</v>
      </c>
      <c r="D23" s="5">
        <f t="shared" si="0"/>
        <v>5654.75</v>
      </c>
      <c r="E23" s="26">
        <f t="shared" si="1"/>
        <v>1.3290835773162842E-2</v>
      </c>
      <c r="I23" s="27" t="s">
        <v>38</v>
      </c>
      <c r="J23" s="5">
        <v>11138</v>
      </c>
      <c r="L23" s="27" t="str">
        <f>B6</f>
        <v>ویفر دارک بنیس (80 گ 24 ع )</v>
      </c>
      <c r="M23" s="32">
        <f>D6</f>
        <v>14551.75</v>
      </c>
    </row>
    <row r="24" spans="1:14" ht="18.3">
      <c r="A24" s="4">
        <v>1126</v>
      </c>
      <c r="B24" s="4" t="s">
        <v>38</v>
      </c>
      <c r="C24" s="5">
        <v>66828</v>
      </c>
      <c r="D24" s="5">
        <f t="shared" si="0"/>
        <v>5569</v>
      </c>
      <c r="E24" s="26">
        <f t="shared" si="1"/>
        <v>1.3089290317121688E-2</v>
      </c>
      <c r="I24" s="27" t="s">
        <v>39</v>
      </c>
      <c r="J24" s="5">
        <v>9754</v>
      </c>
      <c r="L24" s="27" t="str">
        <f>B7</f>
        <v>ویفر موزی  بنیس   (90 گ 24 ع )</v>
      </c>
      <c r="M24" s="32">
        <f>D7</f>
        <v>14133.666666666666</v>
      </c>
    </row>
    <row r="25" spans="1:14" ht="18.3">
      <c r="A25" s="4">
        <v>2104</v>
      </c>
      <c r="B25" s="4" t="s">
        <v>127</v>
      </c>
      <c r="C25" s="9">
        <v>66580</v>
      </c>
      <c r="D25" s="5">
        <f t="shared" si="0"/>
        <v>5548.333333333333</v>
      </c>
      <c r="E25" s="26">
        <f t="shared" si="1"/>
        <v>1.3040715707696804E-2</v>
      </c>
      <c r="L25" s="27" t="str">
        <f>B23</f>
        <v>ویفر پرتقال بنیس  (90 گ 24 ع )</v>
      </c>
      <c r="M25" s="32">
        <f>D23</f>
        <v>5654.75</v>
      </c>
      <c r="N25" s="25">
        <f>SUM(M23:M25)</f>
        <v>34340.166666666664</v>
      </c>
    </row>
    <row r="26" spans="1:14" ht="18.3">
      <c r="A26" s="4">
        <v>1110</v>
      </c>
      <c r="B26" s="4" t="s">
        <v>24</v>
      </c>
      <c r="C26" s="5">
        <v>66207</v>
      </c>
      <c r="D26" s="5">
        <f t="shared" si="0"/>
        <v>5517.25</v>
      </c>
      <c r="E26" s="26">
        <f t="shared" si="1"/>
        <v>1.2967657928198893E-2</v>
      </c>
      <c r="J26" s="25">
        <f>SUM(J22:J24)</f>
        <v>31207</v>
      </c>
      <c r="L26" s="31"/>
    </row>
    <row r="27" spans="1:14" ht="18.3">
      <c r="A27" s="4">
        <v>1201</v>
      </c>
      <c r="B27" s="4" t="s">
        <v>40</v>
      </c>
      <c r="C27" s="5">
        <v>63911</v>
      </c>
      <c r="D27" s="5">
        <f t="shared" si="0"/>
        <v>5325.916666666667</v>
      </c>
      <c r="E27" s="26">
        <f t="shared" si="1"/>
        <v>1.2517951060297542E-2</v>
      </c>
      <c r="L27" s="31"/>
    </row>
    <row r="28" spans="1:14" ht="18.3">
      <c r="A28" s="4">
        <v>1125</v>
      </c>
      <c r="B28" s="4" t="s">
        <v>37</v>
      </c>
      <c r="C28" s="5">
        <v>61890</v>
      </c>
      <c r="D28" s="5">
        <f t="shared" si="0"/>
        <v>5157.5</v>
      </c>
      <c r="E28" s="26">
        <f t="shared" si="1"/>
        <v>1.2122107166556852E-2</v>
      </c>
      <c r="L28" s="31"/>
    </row>
    <row r="29" spans="1:14" ht="18.3">
      <c r="A29" s="4">
        <v>4201</v>
      </c>
      <c r="B29" s="16" t="s">
        <v>168</v>
      </c>
      <c r="C29" s="5">
        <v>61707</v>
      </c>
      <c r="D29" s="5">
        <f t="shared" si="0"/>
        <v>5142.25</v>
      </c>
      <c r="E29" s="26">
        <f t="shared" si="1"/>
        <v>1.208626380556994E-2</v>
      </c>
      <c r="L29" s="31" t="str">
        <f>B4</f>
        <v>کروسان (50گ24ع)</v>
      </c>
      <c r="M29" s="5">
        <f>D4</f>
        <v>15388.666666666666</v>
      </c>
    </row>
    <row r="30" spans="1:14" ht="18.3">
      <c r="A30" s="4">
        <v>1104</v>
      </c>
      <c r="B30" s="4" t="s">
        <v>18</v>
      </c>
      <c r="C30" s="5">
        <v>60977</v>
      </c>
      <c r="D30" s="5">
        <f t="shared" si="0"/>
        <v>5081.416666666667</v>
      </c>
      <c r="E30" s="26">
        <f t="shared" si="1"/>
        <v>1.1943282092343466E-2</v>
      </c>
      <c r="L30" s="31"/>
    </row>
    <row r="31" spans="1:14" ht="20.100000000000001">
      <c r="A31" s="4">
        <v>1127</v>
      </c>
      <c r="B31" s="4" t="s">
        <v>39</v>
      </c>
      <c r="C31" s="5">
        <v>58524</v>
      </c>
      <c r="D31" s="5">
        <f t="shared" si="0"/>
        <v>4877</v>
      </c>
      <c r="E31" s="26">
        <f t="shared" si="1"/>
        <v>1.1462824362830396E-2</v>
      </c>
      <c r="H31" s="33" t="s">
        <v>208</v>
      </c>
      <c r="I31" s="29" t="s">
        <v>209</v>
      </c>
      <c r="J31" s="29" t="s">
        <v>210</v>
      </c>
      <c r="K31" s="29" t="s">
        <v>211</v>
      </c>
      <c r="L31" s="29" t="s">
        <v>212</v>
      </c>
    </row>
    <row r="32" spans="1:14" ht="18.3">
      <c r="A32" s="4">
        <v>1403</v>
      </c>
      <c r="B32" s="4" t="s">
        <v>81</v>
      </c>
      <c r="C32" s="5">
        <v>56033</v>
      </c>
      <c r="D32" s="5">
        <f t="shared" si="0"/>
        <v>4669.416666666667</v>
      </c>
      <c r="E32" s="26">
        <f t="shared" si="1"/>
        <v>1.0974923749615124E-2</v>
      </c>
      <c r="H32" s="34">
        <v>3</v>
      </c>
      <c r="I32" s="27" t="s">
        <v>198</v>
      </c>
      <c r="J32" s="35">
        <f>N12</f>
        <v>32854.083333333336</v>
      </c>
      <c r="K32" s="36">
        <f>J32*12</f>
        <v>394249</v>
      </c>
      <c r="L32" s="37">
        <f>K32/$I$7</f>
        <v>7.7219722544964814E-2</v>
      </c>
    </row>
    <row r="33" spans="1:12" ht="18.3">
      <c r="A33" s="4">
        <v>1208</v>
      </c>
      <c r="B33" s="4" t="s">
        <v>47</v>
      </c>
      <c r="C33" s="5">
        <v>55998</v>
      </c>
      <c r="D33" s="5">
        <f t="shared" si="0"/>
        <v>4666.5</v>
      </c>
      <c r="E33" s="26">
        <f t="shared" si="1"/>
        <v>1.0968068461994678E-2</v>
      </c>
      <c r="H33" s="34">
        <v>3</v>
      </c>
      <c r="I33" s="27" t="s">
        <v>213</v>
      </c>
      <c r="J33" s="35">
        <f>N18</f>
        <v>44120.5</v>
      </c>
      <c r="K33" s="36">
        <f t="shared" ref="K33:K36" si="3">J33*12</f>
        <v>529446</v>
      </c>
      <c r="L33" s="37">
        <f t="shared" ref="L33:L35" si="4">K33/$I$7</f>
        <v>0.10370013169986846</v>
      </c>
    </row>
    <row r="34" spans="1:12" ht="18.3">
      <c r="A34" s="4">
        <v>2114</v>
      </c>
      <c r="B34" s="15" t="s">
        <v>138</v>
      </c>
      <c r="C34" s="9">
        <v>55518</v>
      </c>
      <c r="D34" s="5">
        <f t="shared" si="0"/>
        <v>4626.5</v>
      </c>
      <c r="E34" s="26">
        <f t="shared" si="1"/>
        <v>1.0874053088914256E-2</v>
      </c>
      <c r="H34" s="34">
        <v>3</v>
      </c>
      <c r="I34" s="27" t="s">
        <v>214</v>
      </c>
      <c r="J34" s="35">
        <f>N25</f>
        <v>34340.166666666664</v>
      </c>
      <c r="K34" s="36">
        <f t="shared" si="3"/>
        <v>412082</v>
      </c>
      <c r="L34" s="37">
        <f t="shared" si="4"/>
        <v>8.0712589520263056E-2</v>
      </c>
    </row>
    <row r="35" spans="1:12" ht="18.3">
      <c r="A35" s="4">
        <v>1602</v>
      </c>
      <c r="B35" s="4" t="s">
        <v>114</v>
      </c>
      <c r="C35" s="5">
        <v>54984</v>
      </c>
      <c r="D35" s="5">
        <f t="shared" si="0"/>
        <v>4582</v>
      </c>
      <c r="E35" s="26">
        <f t="shared" si="1"/>
        <v>1.0769460986362287E-2</v>
      </c>
      <c r="H35" s="34">
        <v>1</v>
      </c>
      <c r="I35" s="27" t="s">
        <v>215</v>
      </c>
      <c r="J35" s="35">
        <f>M29</f>
        <v>15388.666666666666</v>
      </c>
      <c r="K35" s="36">
        <f t="shared" si="3"/>
        <v>184664</v>
      </c>
      <c r="L35" s="37">
        <f t="shared" si="4"/>
        <v>3.6169280946922837E-2</v>
      </c>
    </row>
    <row r="36" spans="1:12" ht="18.3">
      <c r="A36" s="4">
        <v>1204</v>
      </c>
      <c r="B36" s="4" t="s">
        <v>43</v>
      </c>
      <c r="C36" s="5">
        <v>53684</v>
      </c>
      <c r="D36" s="5">
        <f t="shared" si="0"/>
        <v>4473.666666666667</v>
      </c>
      <c r="E36" s="26">
        <f t="shared" si="1"/>
        <v>1.0514836017602811E-2</v>
      </c>
      <c r="H36" s="34">
        <v>2</v>
      </c>
      <c r="I36" s="27" t="s">
        <v>203</v>
      </c>
      <c r="J36" s="35">
        <f>J19</f>
        <v>28797.5</v>
      </c>
      <c r="K36" s="36">
        <f t="shared" si="3"/>
        <v>345570</v>
      </c>
      <c r="L36" s="37">
        <f>K36/$I$7</f>
        <v>6.7685192657085974E-2</v>
      </c>
    </row>
    <row r="37" spans="1:12" ht="18.3">
      <c r="A37" s="4">
        <v>1227</v>
      </c>
      <c r="B37" s="4" t="s">
        <v>66</v>
      </c>
      <c r="C37" s="5">
        <v>51614</v>
      </c>
      <c r="D37" s="5">
        <f t="shared" si="0"/>
        <v>4301.166666666667</v>
      </c>
      <c r="E37" s="26">
        <f t="shared" si="1"/>
        <v>1.0109394721193495E-2</v>
      </c>
      <c r="H37" s="34">
        <v>3</v>
      </c>
      <c r="I37" s="27" t="s">
        <v>216</v>
      </c>
      <c r="J37" s="35">
        <f>J26</f>
        <v>31207</v>
      </c>
      <c r="K37" s="38">
        <f>J37*12</f>
        <v>374484</v>
      </c>
      <c r="L37" s="37">
        <f>K37/$I$7</f>
        <v>7.3348443693017865E-2</v>
      </c>
    </row>
    <row r="38" spans="1:12" ht="18.3">
      <c r="A38" s="4">
        <v>1123</v>
      </c>
      <c r="B38" s="4" t="s">
        <v>35</v>
      </c>
      <c r="C38" s="5">
        <v>50493</v>
      </c>
      <c r="D38" s="5">
        <f t="shared" si="0"/>
        <v>4207.75</v>
      </c>
      <c r="E38" s="26">
        <f t="shared" si="1"/>
        <v>9.8898296519785919E-3</v>
      </c>
      <c r="H38" s="34">
        <f>SUM(H32:H37)</f>
        <v>15</v>
      </c>
      <c r="I38" s="34">
        <v>6</v>
      </c>
      <c r="J38" s="36">
        <f>SUM(J32:J37)</f>
        <v>186707.91666666669</v>
      </c>
      <c r="K38" s="5">
        <f>J38*12</f>
        <v>2240495</v>
      </c>
      <c r="L38" s="37">
        <f>K38/$I$7</f>
        <v>0.43883536106212301</v>
      </c>
    </row>
    <row r="39" spans="1:12" ht="18.3">
      <c r="A39" s="4">
        <v>2115</v>
      </c>
      <c r="B39" s="15" t="s">
        <v>139</v>
      </c>
      <c r="C39" s="9">
        <v>49276</v>
      </c>
      <c r="D39" s="5">
        <f t="shared" si="0"/>
        <v>4106.333333333333</v>
      </c>
      <c r="E39" s="26">
        <f t="shared" si="1"/>
        <v>9.6514615081476074E-3</v>
      </c>
      <c r="L39" s="31"/>
    </row>
    <row r="40" spans="1:12" ht="18.3">
      <c r="A40" s="4">
        <v>1228</v>
      </c>
      <c r="B40" s="4" t="s">
        <v>67</v>
      </c>
      <c r="C40" s="5">
        <v>46033</v>
      </c>
      <c r="D40" s="5">
        <f t="shared" si="0"/>
        <v>3836.0833333333335</v>
      </c>
      <c r="E40" s="26">
        <f t="shared" si="1"/>
        <v>9.016270143773009E-3</v>
      </c>
      <c r="L40" s="31"/>
    </row>
    <row r="41" spans="1:12" ht="18.3">
      <c r="A41" s="4">
        <v>1108</v>
      </c>
      <c r="B41" s="4" t="s">
        <v>22</v>
      </c>
      <c r="C41" s="5">
        <v>45540</v>
      </c>
      <c r="D41" s="5">
        <f t="shared" si="0"/>
        <v>3795</v>
      </c>
      <c r="E41" s="26">
        <f t="shared" si="1"/>
        <v>8.9197085210049928E-3</v>
      </c>
      <c r="L41" s="31"/>
    </row>
    <row r="42" spans="1:12" ht="18.3">
      <c r="A42" s="4">
        <v>1112</v>
      </c>
      <c r="B42" s="4" t="s">
        <v>26</v>
      </c>
      <c r="C42" s="5">
        <v>44699</v>
      </c>
      <c r="D42" s="5">
        <f t="shared" si="0"/>
        <v>3724.9166666666665</v>
      </c>
      <c r="E42" s="26">
        <f t="shared" si="1"/>
        <v>8.7549857527536717E-3</v>
      </c>
      <c r="L42" s="31"/>
    </row>
    <row r="43" spans="1:12" ht="18.3">
      <c r="A43" s="4">
        <v>1223</v>
      </c>
      <c r="B43" s="4" t="s">
        <v>62</v>
      </c>
      <c r="C43" s="5">
        <v>44436</v>
      </c>
      <c r="D43" s="5">
        <f t="shared" si="0"/>
        <v>3703</v>
      </c>
      <c r="E43" s="26">
        <f t="shared" si="1"/>
        <v>8.7034731629200227E-3</v>
      </c>
      <c r="L43" s="31"/>
    </row>
    <row r="44" spans="1:12" ht="18.3">
      <c r="A44" s="4">
        <v>2103</v>
      </c>
      <c r="B44" s="4" t="s">
        <v>126</v>
      </c>
      <c r="C44" s="9">
        <v>43174</v>
      </c>
      <c r="D44" s="5">
        <f t="shared" si="0"/>
        <v>3597.8333333333335</v>
      </c>
      <c r="E44" s="26">
        <f t="shared" si="1"/>
        <v>8.4562910778627487E-3</v>
      </c>
      <c r="L44" s="31"/>
    </row>
    <row r="45" spans="1:12" ht="18.3">
      <c r="A45" s="4">
        <v>2105</v>
      </c>
      <c r="B45" s="4" t="s">
        <v>128</v>
      </c>
      <c r="C45" s="9">
        <v>39409</v>
      </c>
      <c r="D45" s="5">
        <f t="shared" si="0"/>
        <v>3284.0833333333335</v>
      </c>
      <c r="E45" s="26">
        <f t="shared" si="1"/>
        <v>7.7188579952631921E-3</v>
      </c>
      <c r="L45" s="31"/>
    </row>
    <row r="46" spans="1:12" ht="18.3">
      <c r="A46" s="4">
        <v>1405</v>
      </c>
      <c r="B46" s="4" t="s">
        <v>83</v>
      </c>
      <c r="C46" s="5">
        <v>37546</v>
      </c>
      <c r="D46" s="5">
        <f t="shared" si="0"/>
        <v>3128.8333333333335</v>
      </c>
      <c r="E46" s="26">
        <f t="shared" si="1"/>
        <v>7.3539608284948063E-3</v>
      </c>
      <c r="L46" s="31"/>
    </row>
    <row r="47" spans="1:12" ht="18.3">
      <c r="A47" s="4">
        <v>1226</v>
      </c>
      <c r="B47" s="4" t="s">
        <v>65</v>
      </c>
      <c r="C47" s="5">
        <v>37194</v>
      </c>
      <c r="D47" s="5">
        <f t="shared" si="0"/>
        <v>3099.5</v>
      </c>
      <c r="E47" s="26">
        <f t="shared" si="1"/>
        <v>7.2850162215691633E-3</v>
      </c>
      <c r="L47" s="31"/>
    </row>
    <row r="48" spans="1:12" ht="18.3">
      <c r="A48" s="4">
        <v>1224</v>
      </c>
      <c r="B48" s="4" t="s">
        <v>63</v>
      </c>
      <c r="C48" s="5">
        <v>36334</v>
      </c>
      <c r="D48" s="5">
        <f t="shared" si="0"/>
        <v>3027.8333333333335</v>
      </c>
      <c r="E48" s="26">
        <f t="shared" si="1"/>
        <v>7.1165720114667414E-3</v>
      </c>
      <c r="L48" s="31"/>
    </row>
    <row r="49" spans="1:12" ht="18.3">
      <c r="A49" s="4">
        <v>1307</v>
      </c>
      <c r="B49" s="4" t="s">
        <v>74</v>
      </c>
      <c r="C49" s="5">
        <v>36213</v>
      </c>
      <c r="D49" s="5">
        <f t="shared" si="0"/>
        <v>3017.75</v>
      </c>
      <c r="E49" s="39">
        <f t="shared" si="1"/>
        <v>7.0928723028360523E-3</v>
      </c>
      <c r="L49" s="31"/>
    </row>
    <row r="50" spans="1:12" ht="18.3">
      <c r="A50" s="4">
        <v>2106</v>
      </c>
      <c r="B50" s="4" t="s">
        <v>129</v>
      </c>
      <c r="C50" s="9">
        <v>34676</v>
      </c>
      <c r="D50" s="5">
        <f t="shared" si="0"/>
        <v>2889.6666666666665</v>
      </c>
      <c r="E50" s="39">
        <f t="shared" si="1"/>
        <v>6.791827243618119E-3</v>
      </c>
      <c r="L50" s="31"/>
    </row>
    <row r="51" spans="1:12" ht="18.3">
      <c r="A51" s="4">
        <v>1225</v>
      </c>
      <c r="B51" s="4" t="s">
        <v>64</v>
      </c>
      <c r="C51" s="5">
        <v>34503</v>
      </c>
      <c r="D51" s="5">
        <f t="shared" si="0"/>
        <v>2875.25</v>
      </c>
      <c r="E51" s="39">
        <f t="shared" si="1"/>
        <v>6.7579425362370507E-3</v>
      </c>
      <c r="L51" s="31"/>
    </row>
    <row r="52" spans="1:12" ht="18.3">
      <c r="A52" s="4">
        <v>2107</v>
      </c>
      <c r="B52" s="4" t="s">
        <v>130</v>
      </c>
      <c r="C52" s="9">
        <v>34399</v>
      </c>
      <c r="D52" s="5">
        <f t="shared" si="0"/>
        <v>2866.5833333333335</v>
      </c>
      <c r="E52" s="39">
        <f t="shared" si="1"/>
        <v>6.7375725387362924E-3</v>
      </c>
      <c r="L52" s="31"/>
    </row>
    <row r="53" spans="1:12" ht="18.3">
      <c r="A53" s="4">
        <v>1419</v>
      </c>
      <c r="B53" s="4" t="s">
        <v>97</v>
      </c>
      <c r="C53" s="5">
        <v>34227</v>
      </c>
      <c r="D53" s="5">
        <f t="shared" si="0"/>
        <v>2852.25</v>
      </c>
      <c r="E53" s="39">
        <f t="shared" si="1"/>
        <v>6.7038836967158082E-3</v>
      </c>
      <c r="L53" s="31"/>
    </row>
    <row r="54" spans="1:12" ht="18.3">
      <c r="A54" s="4">
        <v>1306</v>
      </c>
      <c r="B54" s="4" t="s">
        <v>73</v>
      </c>
      <c r="C54" s="5">
        <v>34098</v>
      </c>
      <c r="D54" s="5">
        <f t="shared" si="0"/>
        <v>2841.5</v>
      </c>
      <c r="E54" s="39">
        <f t="shared" si="1"/>
        <v>6.6786170652004444E-3</v>
      </c>
      <c r="L54" s="31"/>
    </row>
    <row r="55" spans="1:12" ht="18.3">
      <c r="A55" s="4">
        <v>1101</v>
      </c>
      <c r="B55" s="4" t="s">
        <v>15</v>
      </c>
      <c r="C55" s="5">
        <v>33430</v>
      </c>
      <c r="D55" s="5">
        <f t="shared" si="0"/>
        <v>2785.8333333333335</v>
      </c>
      <c r="E55" s="39">
        <f t="shared" si="1"/>
        <v>6.5477790043301917E-3</v>
      </c>
      <c r="L55" s="31"/>
    </row>
    <row r="56" spans="1:12" ht="18.3">
      <c r="A56" s="4">
        <v>1218</v>
      </c>
      <c r="B56" s="4" t="s">
        <v>57</v>
      </c>
      <c r="C56" s="5">
        <v>32860</v>
      </c>
      <c r="D56" s="5">
        <f t="shared" si="0"/>
        <v>2738.3333333333335</v>
      </c>
      <c r="E56" s="39">
        <f t="shared" si="1"/>
        <v>6.4361357487971909E-3</v>
      </c>
      <c r="L56" s="31"/>
    </row>
    <row r="57" spans="1:12" ht="18.3">
      <c r="A57" s="4">
        <v>1506</v>
      </c>
      <c r="B57" s="4" t="s">
        <v>105</v>
      </c>
      <c r="C57" s="5">
        <v>31956</v>
      </c>
      <c r="D57" s="5">
        <f t="shared" si="0"/>
        <v>2663</v>
      </c>
      <c r="E57" s="39">
        <f t="shared" si="1"/>
        <v>6.2590734628290637E-3</v>
      </c>
      <c r="L57" s="31"/>
    </row>
    <row r="58" spans="1:12" ht="18.3">
      <c r="A58" s="4">
        <v>1421</v>
      </c>
      <c r="B58" s="4" t="s">
        <v>99</v>
      </c>
      <c r="C58" s="5">
        <v>31149</v>
      </c>
      <c r="D58" s="5">
        <f t="shared" si="0"/>
        <v>2595.75</v>
      </c>
      <c r="E58" s="39">
        <f t="shared" si="1"/>
        <v>6.1010101168376052E-3</v>
      </c>
    </row>
    <row r="59" spans="1:12" ht="18.3">
      <c r="A59" s="4">
        <v>1222</v>
      </c>
      <c r="B59" s="4" t="s">
        <v>61</v>
      </c>
      <c r="C59" s="5">
        <v>29327</v>
      </c>
      <c r="D59" s="5">
        <f t="shared" si="0"/>
        <v>2443.9166666666665</v>
      </c>
      <c r="E59" s="39">
        <f t="shared" si="1"/>
        <v>5.7441434298531715E-3</v>
      </c>
    </row>
    <row r="60" spans="1:12" ht="18.3">
      <c r="A60" s="4">
        <v>1103</v>
      </c>
      <c r="B60" s="4" t="s">
        <v>17</v>
      </c>
      <c r="C60" s="5">
        <v>27440</v>
      </c>
      <c r="D60" s="5">
        <f t="shared" si="0"/>
        <v>2286.6666666666665</v>
      </c>
      <c r="E60" s="39">
        <f t="shared" si="1"/>
        <v>5.3745454944307642E-3</v>
      </c>
    </row>
    <row r="61" spans="1:12" ht="18.3">
      <c r="A61" s="4">
        <v>1513</v>
      </c>
      <c r="B61" s="4" t="s">
        <v>112</v>
      </c>
      <c r="C61" s="5">
        <v>25613</v>
      </c>
      <c r="D61" s="5">
        <f t="shared" si="0"/>
        <v>2134.4166666666665</v>
      </c>
      <c r="E61" s="39">
        <f t="shared" si="1"/>
        <v>5.01669948064341E-3</v>
      </c>
    </row>
    <row r="62" spans="1:12" ht="18.3">
      <c r="A62" s="4">
        <v>1217</v>
      </c>
      <c r="B62" s="4" t="s">
        <v>56</v>
      </c>
      <c r="C62" s="5">
        <v>23802</v>
      </c>
      <c r="D62" s="5">
        <f t="shared" si="0"/>
        <v>1983.5</v>
      </c>
      <c r="E62" s="39">
        <f t="shared" si="1"/>
        <v>4.6619873126254024E-3</v>
      </c>
    </row>
    <row r="63" spans="1:12" ht="18.3">
      <c r="A63" s="4">
        <v>3101</v>
      </c>
      <c r="B63" s="4" t="s">
        <v>146</v>
      </c>
      <c r="C63" s="5">
        <v>23509</v>
      </c>
      <c r="D63" s="5">
        <f t="shared" si="0"/>
        <v>1959.0833333333333</v>
      </c>
      <c r="E63" s="39">
        <f t="shared" si="1"/>
        <v>4.6045987619742291E-3</v>
      </c>
    </row>
    <row r="64" spans="1:12" ht="18.3">
      <c r="A64" s="4">
        <v>1409</v>
      </c>
      <c r="B64" s="4" t="s">
        <v>87</v>
      </c>
      <c r="C64" s="5">
        <v>23192</v>
      </c>
      <c r="D64" s="5">
        <f t="shared" si="0"/>
        <v>1932.6666666666667</v>
      </c>
      <c r="E64" s="39">
        <f t="shared" si="1"/>
        <v>4.5425094426690335E-3</v>
      </c>
    </row>
    <row r="65" spans="1:5" ht="18.3">
      <c r="A65" s="4">
        <v>1118</v>
      </c>
      <c r="B65" s="4" t="s">
        <v>32</v>
      </c>
      <c r="C65" s="5">
        <v>21939</v>
      </c>
      <c r="D65" s="5">
        <f t="shared" si="0"/>
        <v>1828.25</v>
      </c>
      <c r="E65" s="39">
        <f t="shared" si="1"/>
        <v>4.2970901458570165E-3</v>
      </c>
    </row>
    <row r="66" spans="1:5" ht="18.3">
      <c r="A66" s="4">
        <v>1113</v>
      </c>
      <c r="B66" s="4" t="s">
        <v>27</v>
      </c>
      <c r="C66" s="5">
        <v>21830</v>
      </c>
      <c r="D66" s="5">
        <f t="shared" si="0"/>
        <v>1819.1666666666667</v>
      </c>
      <c r="E66" s="39">
        <f t="shared" si="1"/>
        <v>4.2757408215533376E-3</v>
      </c>
    </row>
    <row r="67" spans="1:5" ht="18.3">
      <c r="A67" s="4">
        <v>1410</v>
      </c>
      <c r="B67" s="4" t="s">
        <v>88</v>
      </c>
      <c r="C67" s="5">
        <v>21331</v>
      </c>
      <c r="D67" s="5">
        <f t="shared" ref="D67:D130" si="5">C67/12</f>
        <v>1777.5833333333333</v>
      </c>
      <c r="E67" s="39">
        <f t="shared" ref="E67:E130" si="6">C67/$I$7</f>
        <v>4.1780040066218159E-3</v>
      </c>
    </row>
    <row r="68" spans="1:5" ht="18.3">
      <c r="A68" s="4">
        <v>1114</v>
      </c>
      <c r="B68" s="4" t="s">
        <v>28</v>
      </c>
      <c r="C68" s="5">
        <v>21216</v>
      </c>
      <c r="D68" s="5">
        <f t="shared" si="5"/>
        <v>1768</v>
      </c>
      <c r="E68" s="39">
        <f t="shared" si="6"/>
        <v>4.1554794901546314E-3</v>
      </c>
    </row>
    <row r="69" spans="1:5" ht="18.3">
      <c r="A69" s="4">
        <v>1420</v>
      </c>
      <c r="B69" s="4" t="s">
        <v>98</v>
      </c>
      <c r="C69" s="5">
        <v>20094</v>
      </c>
      <c r="D69" s="5">
        <f t="shared" si="5"/>
        <v>1674.5</v>
      </c>
      <c r="E69" s="39">
        <f t="shared" si="6"/>
        <v>3.9357185555791464E-3</v>
      </c>
    </row>
    <row r="70" spans="1:5" ht="18.3">
      <c r="A70" s="4">
        <v>3102</v>
      </c>
      <c r="B70" s="4" t="s">
        <v>147</v>
      </c>
      <c r="C70" s="5">
        <v>19843</v>
      </c>
      <c r="D70" s="5">
        <f t="shared" si="5"/>
        <v>1653.5833333333333</v>
      </c>
      <c r="E70" s="39">
        <f t="shared" si="6"/>
        <v>3.8865563500725094E-3</v>
      </c>
    </row>
    <row r="71" spans="1:5" ht="18.3">
      <c r="A71" s="4">
        <v>1511</v>
      </c>
      <c r="B71" s="4" t="s">
        <v>110</v>
      </c>
      <c r="C71" s="5">
        <v>18918</v>
      </c>
      <c r="D71" s="5">
        <f t="shared" si="5"/>
        <v>1576.5</v>
      </c>
      <c r="E71" s="39">
        <f t="shared" si="6"/>
        <v>3.7053808915321136E-3</v>
      </c>
    </row>
    <row r="72" spans="1:5" ht="18.3">
      <c r="A72" s="4">
        <v>2113</v>
      </c>
      <c r="B72" s="4" t="s">
        <v>136</v>
      </c>
      <c r="C72" s="9">
        <v>18781</v>
      </c>
      <c r="D72" s="5">
        <f t="shared" si="5"/>
        <v>1565.0833333333333</v>
      </c>
      <c r="E72" s="39">
        <f t="shared" si="6"/>
        <v>3.6785473371320769E-3</v>
      </c>
    </row>
    <row r="73" spans="1:5" ht="18.3">
      <c r="A73" s="4">
        <v>2111</v>
      </c>
      <c r="B73" s="4" t="s">
        <v>134</v>
      </c>
      <c r="C73" s="9">
        <v>17990</v>
      </c>
      <c r="D73" s="5">
        <f t="shared" si="5"/>
        <v>1499.1666666666667</v>
      </c>
      <c r="E73" s="39">
        <f t="shared" si="6"/>
        <v>3.5236178369099655E-3</v>
      </c>
    </row>
    <row r="74" spans="1:5" ht="18.3">
      <c r="A74" s="4">
        <v>1510</v>
      </c>
      <c r="B74" s="4" t="s">
        <v>109</v>
      </c>
      <c r="C74" s="5">
        <v>16889</v>
      </c>
      <c r="D74" s="5">
        <f t="shared" si="5"/>
        <v>1407.4166666666667</v>
      </c>
      <c r="E74" s="39">
        <f t="shared" si="6"/>
        <v>3.3079700749067487E-3</v>
      </c>
    </row>
    <row r="75" spans="1:5" ht="18.3">
      <c r="A75" s="4">
        <v>3105</v>
      </c>
      <c r="B75" s="4" t="s">
        <v>150</v>
      </c>
      <c r="C75" s="5">
        <v>16453</v>
      </c>
      <c r="D75" s="5">
        <f t="shared" si="5"/>
        <v>1371.0833333333333</v>
      </c>
      <c r="E75" s="39">
        <f t="shared" si="6"/>
        <v>3.2225727776920322E-3</v>
      </c>
    </row>
    <row r="76" spans="1:5" ht="18.3">
      <c r="A76" s="4">
        <v>3103</v>
      </c>
      <c r="B76" s="4" t="s">
        <v>148</v>
      </c>
      <c r="C76" s="5">
        <v>16393</v>
      </c>
      <c r="D76" s="5">
        <f t="shared" si="5"/>
        <v>1366.0833333333333</v>
      </c>
      <c r="E76" s="39">
        <f t="shared" si="6"/>
        <v>3.2108208560569797E-3</v>
      </c>
    </row>
    <row r="77" spans="1:5" ht="18.3">
      <c r="A77" s="4">
        <v>1412</v>
      </c>
      <c r="B77" s="4" t="s">
        <v>90</v>
      </c>
      <c r="C77" s="5">
        <v>16388</v>
      </c>
      <c r="D77" s="5">
        <f t="shared" si="5"/>
        <v>1365.6666666666667</v>
      </c>
      <c r="E77" s="39">
        <f t="shared" si="6"/>
        <v>3.2098415292540587E-3</v>
      </c>
    </row>
    <row r="78" spans="1:5" ht="18.3">
      <c r="A78" s="4">
        <v>1202</v>
      </c>
      <c r="B78" s="4" t="s">
        <v>41</v>
      </c>
      <c r="C78" s="5">
        <v>15445</v>
      </c>
      <c r="D78" s="5">
        <f t="shared" si="5"/>
        <v>1287.0833333333333</v>
      </c>
      <c r="E78" s="39">
        <f t="shared" si="6"/>
        <v>3.0251404942231472E-3</v>
      </c>
    </row>
    <row r="79" spans="1:5" ht="18.3">
      <c r="A79" s="4">
        <v>1203</v>
      </c>
      <c r="B79" s="4" t="s">
        <v>42</v>
      </c>
      <c r="C79" s="5">
        <v>15389</v>
      </c>
      <c r="D79" s="5">
        <f t="shared" si="5"/>
        <v>1282.4166666666667</v>
      </c>
      <c r="E79" s="39">
        <f t="shared" si="6"/>
        <v>3.0141720340304311E-3</v>
      </c>
    </row>
    <row r="80" spans="1:5" ht="18.3">
      <c r="A80" s="4">
        <v>3104</v>
      </c>
      <c r="B80" s="4" t="s">
        <v>149</v>
      </c>
      <c r="C80" s="5">
        <v>15383</v>
      </c>
      <c r="D80" s="5">
        <f t="shared" si="5"/>
        <v>1281.9166666666667</v>
      </c>
      <c r="E80" s="39">
        <f t="shared" si="6"/>
        <v>3.012996841866926E-3</v>
      </c>
    </row>
    <row r="81" spans="1:5" ht="18.3">
      <c r="A81" s="4">
        <v>1407</v>
      </c>
      <c r="B81" s="4" t="s">
        <v>85</v>
      </c>
      <c r="C81" s="5">
        <v>14634</v>
      </c>
      <c r="D81" s="5">
        <f t="shared" si="5"/>
        <v>1219.5</v>
      </c>
      <c r="E81" s="39">
        <f t="shared" si="6"/>
        <v>2.8662936867893513E-3</v>
      </c>
    </row>
    <row r="82" spans="1:5" ht="18.3">
      <c r="A82" s="4">
        <v>1605</v>
      </c>
      <c r="B82" s="4" t="s">
        <v>117</v>
      </c>
      <c r="C82" s="5">
        <v>13461</v>
      </c>
      <c r="D82" s="5">
        <f t="shared" si="5"/>
        <v>1121.75</v>
      </c>
      <c r="E82" s="39">
        <f t="shared" si="6"/>
        <v>2.6365436188240713E-3</v>
      </c>
    </row>
    <row r="83" spans="1:5" ht="18.3">
      <c r="A83" s="4">
        <v>1504</v>
      </c>
      <c r="B83" s="4" t="s">
        <v>103</v>
      </c>
      <c r="C83" s="5">
        <v>12796</v>
      </c>
      <c r="D83" s="5">
        <f t="shared" si="5"/>
        <v>1066.3333333333333</v>
      </c>
      <c r="E83" s="39">
        <f t="shared" si="6"/>
        <v>2.5062931540355709E-3</v>
      </c>
    </row>
    <row r="84" spans="1:5" ht="18.3">
      <c r="A84" s="4">
        <v>1505</v>
      </c>
      <c r="B84" s="4" t="s">
        <v>104</v>
      </c>
      <c r="C84" s="5">
        <v>12451</v>
      </c>
      <c r="D84" s="5">
        <f t="shared" si="5"/>
        <v>1037.5833333333333</v>
      </c>
      <c r="E84" s="39">
        <f t="shared" si="6"/>
        <v>2.4387196046340175E-3</v>
      </c>
    </row>
    <row r="85" spans="1:5" ht="18.3">
      <c r="A85" s="4">
        <v>1311</v>
      </c>
      <c r="B85" s="4" t="s">
        <v>78</v>
      </c>
      <c r="C85" s="5">
        <v>12255</v>
      </c>
      <c r="D85" s="5">
        <f t="shared" si="5"/>
        <v>1021.25</v>
      </c>
      <c r="E85" s="39">
        <f t="shared" si="6"/>
        <v>2.4003299939595124E-3</v>
      </c>
    </row>
    <row r="86" spans="1:5" ht="18.3">
      <c r="A86" s="4">
        <v>1408</v>
      </c>
      <c r="B86" s="4" t="s">
        <v>86</v>
      </c>
      <c r="C86" s="5">
        <v>11228</v>
      </c>
      <c r="D86" s="5">
        <f t="shared" si="5"/>
        <v>935.66666666666663</v>
      </c>
      <c r="E86" s="39">
        <f t="shared" si="6"/>
        <v>2.199176268639527E-3</v>
      </c>
    </row>
    <row r="87" spans="1:5" ht="18.3">
      <c r="A87" s="4">
        <v>4107</v>
      </c>
      <c r="B87" s="16" t="s">
        <v>161</v>
      </c>
      <c r="C87" s="5">
        <v>10777</v>
      </c>
      <c r="D87" s="5">
        <f t="shared" si="5"/>
        <v>898.08333333333337</v>
      </c>
      <c r="E87" s="39">
        <f t="shared" si="6"/>
        <v>2.1108409910160475E-3</v>
      </c>
    </row>
    <row r="88" spans="1:5" ht="18.3">
      <c r="A88" s="4">
        <v>1503</v>
      </c>
      <c r="B88" s="4" t="s">
        <v>102</v>
      </c>
      <c r="C88" s="5">
        <v>10553</v>
      </c>
      <c r="D88" s="5">
        <f t="shared" si="5"/>
        <v>879.41666666666663</v>
      </c>
      <c r="E88" s="39">
        <f t="shared" si="6"/>
        <v>2.0669671502451842E-3</v>
      </c>
    </row>
    <row r="89" spans="1:5" ht="18.3">
      <c r="A89" s="4">
        <v>4113</v>
      </c>
      <c r="B89" s="16" t="s">
        <v>167</v>
      </c>
      <c r="C89" s="5">
        <v>9709</v>
      </c>
      <c r="D89" s="5">
        <f t="shared" si="5"/>
        <v>809.08333333333337</v>
      </c>
      <c r="E89" s="39">
        <f t="shared" si="6"/>
        <v>1.9016567859121097E-3</v>
      </c>
    </row>
    <row r="90" spans="1:5" ht="18.3">
      <c r="A90" s="4">
        <v>1607</v>
      </c>
      <c r="B90" s="4" t="s">
        <v>119</v>
      </c>
      <c r="C90" s="5">
        <v>9635</v>
      </c>
      <c r="D90" s="5">
        <f t="shared" si="5"/>
        <v>802.91666666666663</v>
      </c>
      <c r="E90" s="39">
        <f t="shared" si="6"/>
        <v>1.8871627492288781E-3</v>
      </c>
    </row>
    <row r="91" spans="1:5" ht="18.3">
      <c r="A91" s="4">
        <v>1606</v>
      </c>
      <c r="B91" s="4" t="s">
        <v>118</v>
      </c>
      <c r="C91" s="5">
        <v>9515</v>
      </c>
      <c r="D91" s="5">
        <f t="shared" si="5"/>
        <v>792.91666666666663</v>
      </c>
      <c r="E91" s="39">
        <f t="shared" si="6"/>
        <v>1.8636589059587727E-3</v>
      </c>
    </row>
    <row r="92" spans="1:5" ht="18.3">
      <c r="A92" s="4">
        <v>1603</v>
      </c>
      <c r="B92" s="4" t="s">
        <v>115</v>
      </c>
      <c r="C92" s="5">
        <v>9358</v>
      </c>
      <c r="D92" s="5">
        <f t="shared" si="5"/>
        <v>779.83333333333337</v>
      </c>
      <c r="E92" s="39">
        <f t="shared" si="6"/>
        <v>1.8329080443470515E-3</v>
      </c>
    </row>
    <row r="93" spans="1:5" ht="18.3">
      <c r="A93" s="4">
        <v>1501</v>
      </c>
      <c r="B93" s="4" t="s">
        <v>100</v>
      </c>
      <c r="C93" s="5">
        <v>8569</v>
      </c>
      <c r="D93" s="5">
        <f t="shared" si="5"/>
        <v>714.08333333333337</v>
      </c>
      <c r="E93" s="39">
        <f t="shared" si="6"/>
        <v>1.6783702748461085E-3</v>
      </c>
    </row>
    <row r="94" spans="1:5" ht="18.3">
      <c r="A94" s="4">
        <v>1502</v>
      </c>
      <c r="B94" s="4" t="s">
        <v>101</v>
      </c>
      <c r="C94" s="5">
        <v>8490</v>
      </c>
      <c r="D94" s="5">
        <f t="shared" si="5"/>
        <v>707.5</v>
      </c>
      <c r="E94" s="39">
        <f t="shared" si="6"/>
        <v>1.6628969113599559E-3</v>
      </c>
    </row>
    <row r="95" spans="1:5" ht="18.3">
      <c r="A95" s="4">
        <v>1512</v>
      </c>
      <c r="B95" s="4" t="s">
        <v>111</v>
      </c>
      <c r="C95" s="5">
        <v>8050</v>
      </c>
      <c r="D95" s="5">
        <f t="shared" si="5"/>
        <v>670.83333333333337</v>
      </c>
      <c r="E95" s="39">
        <f t="shared" si="6"/>
        <v>1.5767161527029028E-3</v>
      </c>
    </row>
    <row r="96" spans="1:5" ht="18.3">
      <c r="A96" s="4">
        <v>4106</v>
      </c>
      <c r="B96" s="16" t="s">
        <v>160</v>
      </c>
      <c r="C96" s="5">
        <v>6333</v>
      </c>
      <c r="D96" s="5">
        <f t="shared" si="5"/>
        <v>527.75</v>
      </c>
      <c r="E96" s="39">
        <f t="shared" si="6"/>
        <v>1.2404153285798117E-3</v>
      </c>
    </row>
    <row r="97" spans="1:5" ht="18.3">
      <c r="A97" s="4">
        <v>4105</v>
      </c>
      <c r="B97" s="16" t="s">
        <v>159</v>
      </c>
      <c r="C97" s="5">
        <v>6023</v>
      </c>
      <c r="D97" s="5">
        <f t="shared" si="5"/>
        <v>501.91666666666669</v>
      </c>
      <c r="E97" s="39">
        <f t="shared" si="6"/>
        <v>1.1796970667987061E-3</v>
      </c>
    </row>
    <row r="98" spans="1:5" ht="18.3">
      <c r="A98" s="4">
        <v>4111</v>
      </c>
      <c r="B98" s="16" t="s">
        <v>165</v>
      </c>
      <c r="C98" s="5">
        <v>5730</v>
      </c>
      <c r="D98" s="5">
        <f t="shared" si="5"/>
        <v>477.5</v>
      </c>
      <c r="E98" s="39">
        <f t="shared" si="6"/>
        <v>1.1223085161475321E-3</v>
      </c>
    </row>
    <row r="99" spans="1:5" ht="18.3">
      <c r="A99" s="4">
        <v>4104</v>
      </c>
      <c r="B99" s="4" t="s">
        <v>158</v>
      </c>
      <c r="C99" s="5">
        <v>5706</v>
      </c>
      <c r="D99" s="5">
        <f t="shared" si="5"/>
        <v>475.5</v>
      </c>
      <c r="E99" s="39">
        <f t="shared" si="6"/>
        <v>1.1176077474935109E-3</v>
      </c>
    </row>
    <row r="100" spans="1:5" ht="18.3">
      <c r="A100" s="4">
        <v>1406</v>
      </c>
      <c r="B100" s="4" t="s">
        <v>84</v>
      </c>
      <c r="C100" s="5">
        <v>5290</v>
      </c>
      <c r="D100" s="5">
        <f t="shared" si="5"/>
        <v>440.83333333333331</v>
      </c>
      <c r="E100" s="39">
        <f t="shared" si="6"/>
        <v>1.0361277574904789E-3</v>
      </c>
    </row>
    <row r="101" spans="1:5" ht="18.3">
      <c r="A101" s="4">
        <v>4102</v>
      </c>
      <c r="B101" s="4" t="s">
        <v>156</v>
      </c>
      <c r="C101" s="5">
        <v>4912</v>
      </c>
      <c r="D101" s="5">
        <f t="shared" si="5"/>
        <v>409.33333333333331</v>
      </c>
      <c r="E101" s="39">
        <f t="shared" si="6"/>
        <v>9.6209065118964699E-4</v>
      </c>
    </row>
    <row r="102" spans="1:5" ht="18.3">
      <c r="A102" s="4">
        <v>4112</v>
      </c>
      <c r="B102" s="16" t="s">
        <v>166</v>
      </c>
      <c r="C102" s="5">
        <v>4909</v>
      </c>
      <c r="D102" s="5">
        <f t="shared" si="5"/>
        <v>409.08333333333331</v>
      </c>
      <c r="E102" s="39">
        <f t="shared" si="6"/>
        <v>9.6150305510789443E-4</v>
      </c>
    </row>
    <row r="103" spans="1:5" ht="18.3">
      <c r="A103" s="4">
        <v>4103</v>
      </c>
      <c r="B103" s="4" t="s">
        <v>157</v>
      </c>
      <c r="C103" s="5">
        <v>4542</v>
      </c>
      <c r="D103" s="5">
        <f t="shared" si="5"/>
        <v>378.5</v>
      </c>
      <c r="E103" s="39">
        <f t="shared" si="6"/>
        <v>8.8962046777348871E-4</v>
      </c>
    </row>
    <row r="104" spans="1:5" ht="18.3">
      <c r="A104" s="4">
        <v>1608</v>
      </c>
      <c r="B104" s="4" t="s">
        <v>120</v>
      </c>
      <c r="C104" s="5">
        <v>4370</v>
      </c>
      <c r="D104" s="5">
        <f t="shared" si="5"/>
        <v>364.16666666666669</v>
      </c>
      <c r="E104" s="39">
        <f t="shared" si="6"/>
        <v>8.5593162575300441E-4</v>
      </c>
    </row>
    <row r="105" spans="1:5" ht="18.3">
      <c r="A105" s="4">
        <v>4110</v>
      </c>
      <c r="B105" s="16" t="s">
        <v>164</v>
      </c>
      <c r="C105" s="5">
        <v>4049</v>
      </c>
      <c r="D105" s="5">
        <f t="shared" si="5"/>
        <v>337.41666666666669</v>
      </c>
      <c r="E105" s="39">
        <f t="shared" si="6"/>
        <v>7.9305884500547252E-4</v>
      </c>
    </row>
    <row r="106" spans="1:5" ht="18.3">
      <c r="A106" s="4">
        <v>4202</v>
      </c>
      <c r="B106" s="15" t="s">
        <v>169</v>
      </c>
      <c r="C106" s="5">
        <v>3672</v>
      </c>
      <c r="D106" s="5">
        <f t="shared" si="5"/>
        <v>306</v>
      </c>
      <c r="E106" s="39">
        <f t="shared" si="6"/>
        <v>7.1921760406522478E-4</v>
      </c>
    </row>
    <row r="107" spans="1:5" ht="18.3">
      <c r="A107" s="4">
        <v>1411</v>
      </c>
      <c r="B107" s="4" t="s">
        <v>89</v>
      </c>
      <c r="C107" s="5">
        <v>3506</v>
      </c>
      <c r="D107" s="5">
        <f t="shared" si="5"/>
        <v>292.16666666666669</v>
      </c>
      <c r="E107" s="39">
        <f t="shared" si="6"/>
        <v>6.8670395420824561E-4</v>
      </c>
    </row>
    <row r="108" spans="1:5" ht="18.3">
      <c r="A108" s="4">
        <v>4203</v>
      </c>
      <c r="B108" s="15" t="s">
        <v>170</v>
      </c>
      <c r="C108" s="5">
        <v>2985</v>
      </c>
      <c r="D108" s="5">
        <f t="shared" si="5"/>
        <v>248.75</v>
      </c>
      <c r="E108" s="39">
        <f t="shared" si="6"/>
        <v>5.8465810134387139E-4</v>
      </c>
    </row>
    <row r="109" spans="1:5" ht="18.3">
      <c r="A109" s="4">
        <v>1416</v>
      </c>
      <c r="B109" s="4" t="s">
        <v>94</v>
      </c>
      <c r="C109" s="5">
        <v>2696</v>
      </c>
      <c r="D109" s="5">
        <f t="shared" si="5"/>
        <v>224.66666666666666</v>
      </c>
      <c r="E109" s="39">
        <f t="shared" si="6"/>
        <v>5.280530121350343E-4</v>
      </c>
    </row>
    <row r="110" spans="1:5" ht="18.3">
      <c r="A110" s="4">
        <v>1415</v>
      </c>
      <c r="B110" s="4" t="s">
        <v>93</v>
      </c>
      <c r="C110" s="5">
        <v>2670</v>
      </c>
      <c r="D110" s="5">
        <f t="shared" si="5"/>
        <v>222.5</v>
      </c>
      <c r="E110" s="39">
        <f t="shared" si="6"/>
        <v>5.2296051275984483E-4</v>
      </c>
    </row>
    <row r="111" spans="1:5" ht="18.3">
      <c r="A111" s="4">
        <v>1507</v>
      </c>
      <c r="B111" s="4" t="s">
        <v>106</v>
      </c>
      <c r="C111" s="5">
        <v>2133</v>
      </c>
      <c r="D111" s="5">
        <f t="shared" si="5"/>
        <v>177.75</v>
      </c>
      <c r="E111" s="39">
        <f t="shared" si="6"/>
        <v>4.1778081412612321E-4</v>
      </c>
    </row>
    <row r="112" spans="1:5" ht="18.3">
      <c r="A112" s="4">
        <v>2202</v>
      </c>
      <c r="B112" s="4" t="s">
        <v>142</v>
      </c>
      <c r="C112" s="9">
        <v>1908</v>
      </c>
      <c r="D112" s="5">
        <f t="shared" si="5"/>
        <v>159</v>
      </c>
      <c r="E112" s="39">
        <f t="shared" si="6"/>
        <v>3.7371110799467558E-4</v>
      </c>
    </row>
    <row r="113" spans="1:5" ht="18.3">
      <c r="A113" s="4">
        <v>2117</v>
      </c>
      <c r="B113" s="4" t="s">
        <v>141</v>
      </c>
      <c r="C113" s="9">
        <v>1672</v>
      </c>
      <c r="D113" s="5">
        <f t="shared" si="5"/>
        <v>139.33333333333334</v>
      </c>
      <c r="E113" s="39">
        <f t="shared" si="6"/>
        <v>3.2748688289680166E-4</v>
      </c>
    </row>
    <row r="114" spans="1:5" ht="18.3">
      <c r="A114" s="4">
        <v>1124</v>
      </c>
      <c r="B114" s="4" t="s">
        <v>36</v>
      </c>
      <c r="C114" s="5">
        <v>862</v>
      </c>
      <c r="D114" s="5">
        <f t="shared" si="5"/>
        <v>71.833333333333329</v>
      </c>
      <c r="E114" s="39">
        <f t="shared" si="6"/>
        <v>1.6883594082359033E-4</v>
      </c>
    </row>
    <row r="115" spans="1:5" ht="18.3">
      <c r="A115" s="4">
        <v>1414</v>
      </c>
      <c r="B115" s="4" t="s">
        <v>92</v>
      </c>
      <c r="C115" s="5">
        <v>660</v>
      </c>
      <c r="D115" s="5">
        <f t="shared" si="5"/>
        <v>55</v>
      </c>
      <c r="E115" s="39">
        <f t="shared" si="6"/>
        <v>1.2927113798557962E-4</v>
      </c>
    </row>
    <row r="116" spans="1:5" ht="18.3">
      <c r="A116" s="4">
        <v>1417</v>
      </c>
      <c r="B116" s="4" t="s">
        <v>95</v>
      </c>
      <c r="C116" s="5">
        <v>601</v>
      </c>
      <c r="D116" s="5">
        <f t="shared" si="5"/>
        <v>50.083333333333336</v>
      </c>
      <c r="E116" s="39">
        <f t="shared" si="6"/>
        <v>1.1771508171111112E-4</v>
      </c>
    </row>
    <row r="117" spans="1:5" ht="18.3">
      <c r="A117" s="4">
        <v>2112</v>
      </c>
      <c r="B117" s="4" t="s">
        <v>135</v>
      </c>
      <c r="C117" s="9">
        <v>273</v>
      </c>
      <c r="D117" s="5">
        <f t="shared" si="5"/>
        <v>22.75</v>
      </c>
      <c r="E117" s="39">
        <f t="shared" si="6"/>
        <v>5.3471243439489748E-5</v>
      </c>
    </row>
    <row r="118" spans="1:5" ht="18.3">
      <c r="A118" s="4">
        <v>1418</v>
      </c>
      <c r="B118" s="4" t="s">
        <v>96</v>
      </c>
      <c r="C118" s="5">
        <v>238</v>
      </c>
      <c r="D118" s="5">
        <f t="shared" si="5"/>
        <v>19.833333333333332</v>
      </c>
      <c r="E118" s="39">
        <f t="shared" si="6"/>
        <v>4.6615955819042343E-5</v>
      </c>
    </row>
    <row r="119" spans="1:5" ht="18.3">
      <c r="A119" s="4">
        <v>5301</v>
      </c>
      <c r="B119" s="4" t="s">
        <v>180</v>
      </c>
      <c r="C119" s="5">
        <v>101</v>
      </c>
      <c r="D119" s="5">
        <f t="shared" si="5"/>
        <v>8.4166666666666661</v>
      </c>
      <c r="E119" s="39">
        <f t="shared" si="6"/>
        <v>1.9782401419005364E-5</v>
      </c>
    </row>
    <row r="120" spans="1:5" ht="18.3">
      <c r="A120" s="4">
        <v>1302</v>
      </c>
      <c r="B120" s="4" t="s">
        <v>69</v>
      </c>
      <c r="C120" s="5">
        <v>72</v>
      </c>
      <c r="D120" s="5">
        <f t="shared" si="5"/>
        <v>6</v>
      </c>
      <c r="E120" s="39">
        <f t="shared" si="6"/>
        <v>1.4102305962063229E-5</v>
      </c>
    </row>
    <row r="121" spans="1:5" ht="18.3">
      <c r="A121" s="4">
        <v>1509</v>
      </c>
      <c r="B121" s="4" t="s">
        <v>108</v>
      </c>
      <c r="C121" s="5">
        <v>23</v>
      </c>
      <c r="D121" s="5">
        <f t="shared" si="5"/>
        <v>1.9166666666666667</v>
      </c>
      <c r="E121" s="39">
        <f t="shared" si="6"/>
        <v>4.5049032934368655E-6</v>
      </c>
    </row>
    <row r="122" spans="1:5" ht="18.3">
      <c r="A122" s="4">
        <v>5205</v>
      </c>
      <c r="B122" s="4" t="s">
        <v>178</v>
      </c>
      <c r="C122" s="5">
        <v>19</v>
      </c>
      <c r="D122" s="5">
        <f t="shared" si="5"/>
        <v>1.5833333333333333</v>
      </c>
      <c r="E122" s="39">
        <f t="shared" si="6"/>
        <v>3.7214418511000189E-6</v>
      </c>
    </row>
    <row r="123" spans="1:5" ht="18.3">
      <c r="A123" s="13">
        <v>5402</v>
      </c>
      <c r="B123" s="13" t="s">
        <v>183</v>
      </c>
      <c r="C123" s="5">
        <v>18</v>
      </c>
      <c r="D123" s="5">
        <f t="shared" si="5"/>
        <v>1.5</v>
      </c>
      <c r="E123" s="39">
        <f t="shared" si="6"/>
        <v>3.5255764905158073E-6</v>
      </c>
    </row>
    <row r="124" spans="1:5" ht="18.3">
      <c r="A124" s="4">
        <v>1601</v>
      </c>
      <c r="B124" s="4" t="s">
        <v>113</v>
      </c>
      <c r="C124" s="5">
        <v>5</v>
      </c>
      <c r="D124" s="5">
        <f t="shared" si="5"/>
        <v>0.41666666666666669</v>
      </c>
      <c r="E124" s="39">
        <f t="shared" si="6"/>
        <v>9.7932680292105761E-7</v>
      </c>
    </row>
    <row r="125" spans="1:5" ht="18.3">
      <c r="A125" s="4">
        <v>1508</v>
      </c>
      <c r="B125" s="4" t="s">
        <v>107</v>
      </c>
      <c r="C125" s="5">
        <v>3</v>
      </c>
      <c r="D125" s="5">
        <f t="shared" si="5"/>
        <v>0.25</v>
      </c>
      <c r="E125" s="39">
        <f t="shared" si="6"/>
        <v>5.8759608175263459E-7</v>
      </c>
    </row>
    <row r="126" spans="1:5" ht="18.3">
      <c r="A126" s="4">
        <v>1111</v>
      </c>
      <c r="B126" s="4" t="s">
        <v>25</v>
      </c>
      <c r="C126" s="5">
        <v>1</v>
      </c>
      <c r="D126" s="5">
        <f t="shared" si="5"/>
        <v>8.3333333333333329E-2</v>
      </c>
      <c r="E126" s="39">
        <f t="shared" si="6"/>
        <v>1.9586536058421154E-7</v>
      </c>
    </row>
    <row r="127" spans="1:5" ht="18.3">
      <c r="A127" s="4">
        <v>1109</v>
      </c>
      <c r="B127" s="4" t="s">
        <v>23</v>
      </c>
      <c r="C127" s="5">
        <v>0</v>
      </c>
      <c r="D127" s="5">
        <f t="shared" si="5"/>
        <v>0</v>
      </c>
      <c r="E127" s="39">
        <f t="shared" si="6"/>
        <v>0</v>
      </c>
    </row>
    <row r="128" spans="1:5" ht="18.3">
      <c r="A128" s="4">
        <v>1116</v>
      </c>
      <c r="B128" s="4" t="s">
        <v>30</v>
      </c>
      <c r="C128" s="5">
        <v>0</v>
      </c>
      <c r="D128" s="5">
        <f t="shared" si="5"/>
        <v>0</v>
      </c>
      <c r="E128" s="39">
        <f t="shared" si="6"/>
        <v>0</v>
      </c>
    </row>
    <row r="129" spans="1:5" ht="18.3">
      <c r="A129" s="4">
        <v>1117</v>
      </c>
      <c r="B129" s="4" t="s">
        <v>31</v>
      </c>
      <c r="C129" s="5">
        <v>0</v>
      </c>
      <c r="D129" s="5">
        <f t="shared" si="5"/>
        <v>0</v>
      </c>
      <c r="E129" s="39">
        <f t="shared" si="6"/>
        <v>0</v>
      </c>
    </row>
    <row r="130" spans="1:5" ht="18.3">
      <c r="A130" s="4">
        <v>1210</v>
      </c>
      <c r="B130" s="4" t="s">
        <v>49</v>
      </c>
      <c r="C130" s="5">
        <v>0</v>
      </c>
      <c r="D130" s="5">
        <f t="shared" si="5"/>
        <v>0</v>
      </c>
      <c r="E130" s="39">
        <f t="shared" si="6"/>
        <v>0</v>
      </c>
    </row>
    <row r="131" spans="1:5" ht="18.3">
      <c r="A131" s="4">
        <v>1211</v>
      </c>
      <c r="B131" s="4" t="s">
        <v>50</v>
      </c>
      <c r="C131" s="5">
        <v>0</v>
      </c>
      <c r="D131" s="5">
        <f t="shared" ref="D131:D170" si="7">C131/12</f>
        <v>0</v>
      </c>
      <c r="E131" s="39">
        <f t="shared" ref="E131:E170" si="8">C131/$I$7</f>
        <v>0</v>
      </c>
    </row>
    <row r="132" spans="1:5" ht="18.3">
      <c r="A132" s="4">
        <v>1212</v>
      </c>
      <c r="B132" s="4" t="s">
        <v>51</v>
      </c>
      <c r="C132" s="5">
        <v>0</v>
      </c>
      <c r="D132" s="5">
        <f t="shared" si="7"/>
        <v>0</v>
      </c>
      <c r="E132" s="39">
        <f t="shared" si="8"/>
        <v>0</v>
      </c>
    </row>
    <row r="133" spans="1:5" ht="18.3">
      <c r="A133" s="4">
        <v>1213</v>
      </c>
      <c r="B133" s="4" t="s">
        <v>52</v>
      </c>
      <c r="C133" s="5">
        <v>0</v>
      </c>
      <c r="D133" s="5">
        <f t="shared" si="7"/>
        <v>0</v>
      </c>
      <c r="E133" s="39">
        <f t="shared" si="8"/>
        <v>0</v>
      </c>
    </row>
    <row r="134" spans="1:5" ht="18.3">
      <c r="A134" s="4">
        <v>1214</v>
      </c>
      <c r="B134" s="4" t="s">
        <v>53</v>
      </c>
      <c r="C134" s="5">
        <v>0</v>
      </c>
      <c r="D134" s="5">
        <f t="shared" si="7"/>
        <v>0</v>
      </c>
      <c r="E134" s="39">
        <f t="shared" si="8"/>
        <v>0</v>
      </c>
    </row>
    <row r="135" spans="1:5" ht="18.3">
      <c r="A135" s="4">
        <v>1215</v>
      </c>
      <c r="B135" s="4" t="s">
        <v>54</v>
      </c>
      <c r="C135" s="5">
        <v>0</v>
      </c>
      <c r="D135" s="5">
        <f t="shared" si="7"/>
        <v>0</v>
      </c>
      <c r="E135" s="39">
        <f t="shared" si="8"/>
        <v>0</v>
      </c>
    </row>
    <row r="136" spans="1:5" ht="18.3">
      <c r="A136" s="4">
        <v>1216</v>
      </c>
      <c r="B136" s="4" t="s">
        <v>55</v>
      </c>
      <c r="C136" s="5">
        <v>0</v>
      </c>
      <c r="D136" s="5">
        <f t="shared" si="7"/>
        <v>0</v>
      </c>
      <c r="E136" s="39">
        <f t="shared" si="8"/>
        <v>0</v>
      </c>
    </row>
    <row r="137" spans="1:5" ht="18.3">
      <c r="A137" s="4">
        <v>1220</v>
      </c>
      <c r="B137" s="4" t="s">
        <v>59</v>
      </c>
      <c r="C137" s="5">
        <v>0</v>
      </c>
      <c r="D137" s="5">
        <f t="shared" si="7"/>
        <v>0</v>
      </c>
      <c r="E137" s="39">
        <f t="shared" si="8"/>
        <v>0</v>
      </c>
    </row>
    <row r="138" spans="1:5" ht="18.3">
      <c r="A138" s="4">
        <v>1221</v>
      </c>
      <c r="B138" s="4" t="s">
        <v>60</v>
      </c>
      <c r="C138" s="5">
        <v>0</v>
      </c>
      <c r="D138" s="5">
        <f t="shared" si="7"/>
        <v>0</v>
      </c>
      <c r="E138" s="39">
        <f t="shared" si="8"/>
        <v>0</v>
      </c>
    </row>
    <row r="139" spans="1:5" ht="18.3">
      <c r="A139" s="4">
        <v>1301</v>
      </c>
      <c r="B139" s="4" t="s">
        <v>68</v>
      </c>
      <c r="C139" s="5">
        <v>0</v>
      </c>
      <c r="D139" s="5">
        <f t="shared" si="7"/>
        <v>0</v>
      </c>
      <c r="E139" s="39">
        <f t="shared" si="8"/>
        <v>0</v>
      </c>
    </row>
    <row r="140" spans="1:5" ht="18.3">
      <c r="A140" s="4">
        <v>1303</v>
      </c>
      <c r="B140" s="4" t="s">
        <v>70</v>
      </c>
      <c r="C140" s="5">
        <v>0</v>
      </c>
      <c r="D140" s="5">
        <f t="shared" si="7"/>
        <v>0</v>
      </c>
      <c r="E140" s="39">
        <f t="shared" si="8"/>
        <v>0</v>
      </c>
    </row>
    <row r="141" spans="1:5" ht="18.3">
      <c r="A141" s="4">
        <v>1304</v>
      </c>
      <c r="B141" s="4" t="s">
        <v>71</v>
      </c>
      <c r="C141" s="5">
        <v>0</v>
      </c>
      <c r="D141" s="5">
        <f t="shared" si="7"/>
        <v>0</v>
      </c>
      <c r="E141" s="39">
        <f t="shared" si="8"/>
        <v>0</v>
      </c>
    </row>
    <row r="142" spans="1:5" ht="18.3">
      <c r="A142" s="4">
        <v>1305</v>
      </c>
      <c r="B142" s="4" t="s">
        <v>72</v>
      </c>
      <c r="C142" s="5">
        <v>0</v>
      </c>
      <c r="D142" s="5">
        <f t="shared" si="7"/>
        <v>0</v>
      </c>
      <c r="E142" s="39">
        <f t="shared" si="8"/>
        <v>0</v>
      </c>
    </row>
    <row r="143" spans="1:5" ht="18.3">
      <c r="A143" s="4">
        <v>1413</v>
      </c>
      <c r="B143" s="4" t="s">
        <v>91</v>
      </c>
      <c r="C143" s="5">
        <v>0</v>
      </c>
      <c r="D143" s="5">
        <f t="shared" si="7"/>
        <v>0</v>
      </c>
      <c r="E143" s="39">
        <f t="shared" si="8"/>
        <v>0</v>
      </c>
    </row>
    <row r="144" spans="1:5" ht="18.3">
      <c r="A144" s="4">
        <v>1012040</v>
      </c>
      <c r="B144" s="4" t="s">
        <v>121</v>
      </c>
      <c r="C144" s="5">
        <v>0</v>
      </c>
      <c r="D144" s="5">
        <f t="shared" si="7"/>
        <v>0</v>
      </c>
      <c r="E144" s="39">
        <f t="shared" si="8"/>
        <v>0</v>
      </c>
    </row>
    <row r="145" spans="1:5" ht="18.3">
      <c r="A145" s="4">
        <v>1014037</v>
      </c>
      <c r="B145" s="4" t="s">
        <v>122</v>
      </c>
      <c r="C145" s="5">
        <v>0</v>
      </c>
      <c r="D145" s="5">
        <f t="shared" si="7"/>
        <v>0</v>
      </c>
      <c r="E145" s="39">
        <f t="shared" si="8"/>
        <v>0</v>
      </c>
    </row>
    <row r="146" spans="1:5" ht="18.3">
      <c r="A146" s="4">
        <v>2108</v>
      </c>
      <c r="B146" s="4" t="s">
        <v>131</v>
      </c>
      <c r="C146" s="9">
        <v>0</v>
      </c>
      <c r="D146" s="5">
        <f t="shared" si="7"/>
        <v>0</v>
      </c>
      <c r="E146" s="39">
        <f t="shared" si="8"/>
        <v>0</v>
      </c>
    </row>
    <row r="147" spans="1:5" ht="18.3">
      <c r="A147" s="4">
        <v>2109</v>
      </c>
      <c r="B147" s="4" t="s">
        <v>132</v>
      </c>
      <c r="C147" s="9">
        <v>0</v>
      </c>
      <c r="D147" s="5">
        <f t="shared" si="7"/>
        <v>0</v>
      </c>
      <c r="E147" s="39">
        <f t="shared" si="8"/>
        <v>0</v>
      </c>
    </row>
    <row r="148" spans="1:5" ht="18.3">
      <c r="A148" s="4">
        <v>2110</v>
      </c>
      <c r="B148" s="4" t="s">
        <v>133</v>
      </c>
      <c r="C148" s="9">
        <v>0</v>
      </c>
      <c r="D148" s="5">
        <f t="shared" si="7"/>
        <v>0</v>
      </c>
      <c r="E148" s="39">
        <f t="shared" si="8"/>
        <v>0</v>
      </c>
    </row>
    <row r="149" spans="1:5" ht="18.3">
      <c r="A149" s="4">
        <v>2207</v>
      </c>
      <c r="B149" s="15" t="s">
        <v>137</v>
      </c>
      <c r="C149" s="9">
        <v>0</v>
      </c>
      <c r="D149" s="5">
        <f t="shared" si="7"/>
        <v>0</v>
      </c>
      <c r="E149" s="39">
        <f t="shared" si="8"/>
        <v>0</v>
      </c>
    </row>
    <row r="150" spans="1:5" ht="18.3">
      <c r="A150" s="4">
        <v>1110008</v>
      </c>
      <c r="B150" s="4" t="s">
        <v>143</v>
      </c>
      <c r="C150" s="9">
        <v>0</v>
      </c>
      <c r="D150" s="5">
        <f t="shared" si="7"/>
        <v>0</v>
      </c>
      <c r="E150" s="39">
        <f t="shared" si="8"/>
        <v>0</v>
      </c>
    </row>
    <row r="151" spans="1:5" ht="18.3">
      <c r="A151" s="4">
        <v>1110009</v>
      </c>
      <c r="B151" s="4" t="s">
        <v>144</v>
      </c>
      <c r="C151" s="9">
        <v>0</v>
      </c>
      <c r="D151" s="5">
        <f t="shared" si="7"/>
        <v>0</v>
      </c>
      <c r="E151" s="39">
        <f t="shared" si="8"/>
        <v>0</v>
      </c>
    </row>
    <row r="152" spans="1:5" ht="18.3">
      <c r="A152" s="4">
        <v>1014042</v>
      </c>
      <c r="B152" s="4" t="s">
        <v>151</v>
      </c>
      <c r="C152" s="5">
        <v>0</v>
      </c>
      <c r="D152" s="5">
        <f t="shared" si="7"/>
        <v>0</v>
      </c>
      <c r="E152" s="39">
        <f t="shared" si="8"/>
        <v>0</v>
      </c>
    </row>
    <row r="153" spans="1:5" ht="18.3">
      <c r="A153" s="17">
        <v>1014043</v>
      </c>
      <c r="B153" s="17" t="s">
        <v>152</v>
      </c>
      <c r="C153" s="5">
        <v>0</v>
      </c>
      <c r="D153" s="5">
        <f t="shared" si="7"/>
        <v>0</v>
      </c>
      <c r="E153" s="39">
        <f t="shared" si="8"/>
        <v>0</v>
      </c>
    </row>
    <row r="154" spans="1:5" ht="18.3">
      <c r="A154" s="17">
        <v>3110</v>
      </c>
      <c r="B154" s="17" t="s">
        <v>153</v>
      </c>
      <c r="C154" s="5">
        <v>0</v>
      </c>
      <c r="D154" s="5">
        <f t="shared" si="7"/>
        <v>0</v>
      </c>
      <c r="E154" s="39">
        <f t="shared" si="8"/>
        <v>0</v>
      </c>
    </row>
    <row r="155" spans="1:5" ht="18.3">
      <c r="A155" s="4">
        <v>4101</v>
      </c>
      <c r="B155" s="4" t="s">
        <v>155</v>
      </c>
      <c r="C155" s="5">
        <v>0</v>
      </c>
      <c r="D155" s="5">
        <f t="shared" si="7"/>
        <v>0</v>
      </c>
      <c r="E155" s="39">
        <f t="shared" si="8"/>
        <v>0</v>
      </c>
    </row>
    <row r="156" spans="1:5" ht="18.3">
      <c r="A156" s="4">
        <v>4108</v>
      </c>
      <c r="B156" s="16" t="s">
        <v>162</v>
      </c>
      <c r="C156" s="5">
        <v>0</v>
      </c>
      <c r="D156" s="5">
        <f t="shared" si="7"/>
        <v>0</v>
      </c>
      <c r="E156" s="39">
        <f t="shared" si="8"/>
        <v>0</v>
      </c>
    </row>
    <row r="157" spans="1:5" ht="18.3">
      <c r="A157" s="4">
        <v>4109</v>
      </c>
      <c r="B157" s="16" t="s">
        <v>163</v>
      </c>
      <c r="C157" s="5">
        <v>0</v>
      </c>
      <c r="D157" s="5">
        <f t="shared" si="7"/>
        <v>0</v>
      </c>
      <c r="E157" s="39">
        <f t="shared" si="8"/>
        <v>0</v>
      </c>
    </row>
    <row r="158" spans="1:5" ht="18.3">
      <c r="A158" s="4">
        <v>5101</v>
      </c>
      <c r="B158" s="4" t="s">
        <v>172</v>
      </c>
      <c r="C158" s="5">
        <v>0</v>
      </c>
      <c r="D158" s="5">
        <f t="shared" si="7"/>
        <v>0</v>
      </c>
      <c r="E158" s="39">
        <f t="shared" si="8"/>
        <v>0</v>
      </c>
    </row>
    <row r="159" spans="1:5" ht="18.3">
      <c r="A159" s="4">
        <v>5102</v>
      </c>
      <c r="B159" s="4" t="s">
        <v>173</v>
      </c>
      <c r="C159" s="5">
        <v>0</v>
      </c>
      <c r="D159" s="5">
        <f t="shared" si="7"/>
        <v>0</v>
      </c>
      <c r="E159" s="39">
        <f t="shared" si="8"/>
        <v>0</v>
      </c>
    </row>
    <row r="160" spans="1:5" ht="18.3">
      <c r="A160" s="4">
        <v>5103</v>
      </c>
      <c r="B160" s="4" t="s">
        <v>174</v>
      </c>
      <c r="C160" s="5">
        <v>0</v>
      </c>
      <c r="D160" s="5">
        <f t="shared" si="7"/>
        <v>0</v>
      </c>
      <c r="E160" s="39">
        <f t="shared" si="8"/>
        <v>0</v>
      </c>
    </row>
    <row r="161" spans="1:5" ht="18.3">
      <c r="A161" s="4">
        <v>5201</v>
      </c>
      <c r="B161" s="4" t="s">
        <v>175</v>
      </c>
      <c r="C161" s="5">
        <v>0</v>
      </c>
      <c r="D161" s="5">
        <f t="shared" si="7"/>
        <v>0</v>
      </c>
      <c r="E161" s="39">
        <f t="shared" si="8"/>
        <v>0</v>
      </c>
    </row>
    <row r="162" spans="1:5" ht="18.3">
      <c r="A162" s="4">
        <v>5202</v>
      </c>
      <c r="B162" s="4" t="s">
        <v>176</v>
      </c>
      <c r="C162" s="5">
        <v>0</v>
      </c>
      <c r="D162" s="5">
        <f t="shared" si="7"/>
        <v>0</v>
      </c>
      <c r="E162" s="39">
        <f t="shared" si="8"/>
        <v>0</v>
      </c>
    </row>
    <row r="163" spans="1:5" ht="18.3">
      <c r="A163" s="4">
        <v>5204</v>
      </c>
      <c r="B163" s="4" t="s">
        <v>177</v>
      </c>
      <c r="C163" s="5">
        <v>0</v>
      </c>
      <c r="D163" s="5">
        <f t="shared" si="7"/>
        <v>0</v>
      </c>
      <c r="E163" s="39">
        <f t="shared" si="8"/>
        <v>0</v>
      </c>
    </row>
    <row r="164" spans="1:5" ht="18.3">
      <c r="A164" s="4">
        <v>5206</v>
      </c>
      <c r="B164" s="4" t="s">
        <v>179</v>
      </c>
      <c r="C164" s="5">
        <v>0</v>
      </c>
      <c r="D164" s="5">
        <f t="shared" si="7"/>
        <v>0</v>
      </c>
      <c r="E164" s="39">
        <f t="shared" si="8"/>
        <v>0</v>
      </c>
    </row>
    <row r="165" spans="1:5" ht="18.3">
      <c r="A165" s="4">
        <v>5302</v>
      </c>
      <c r="B165" s="4" t="s">
        <v>181</v>
      </c>
      <c r="C165" s="5">
        <v>0</v>
      </c>
      <c r="D165" s="5">
        <f t="shared" si="7"/>
        <v>0</v>
      </c>
      <c r="E165" s="39">
        <f t="shared" si="8"/>
        <v>0</v>
      </c>
    </row>
    <row r="166" spans="1:5" ht="18.3">
      <c r="A166" s="4">
        <v>5401</v>
      </c>
      <c r="B166" s="4" t="s">
        <v>182</v>
      </c>
      <c r="C166" s="5">
        <v>0</v>
      </c>
      <c r="D166" s="5">
        <f t="shared" si="7"/>
        <v>0</v>
      </c>
      <c r="E166" s="39">
        <f t="shared" si="8"/>
        <v>0</v>
      </c>
    </row>
    <row r="167" spans="1:5" ht="18.3">
      <c r="A167" s="4">
        <v>5403</v>
      </c>
      <c r="B167" s="4" t="s">
        <v>184</v>
      </c>
      <c r="C167" s="5">
        <v>0</v>
      </c>
      <c r="D167" s="5">
        <f t="shared" si="7"/>
        <v>0</v>
      </c>
      <c r="E167" s="39">
        <f t="shared" si="8"/>
        <v>0</v>
      </c>
    </row>
    <row r="168" spans="1:5" ht="18.3">
      <c r="A168" s="4">
        <v>5404</v>
      </c>
      <c r="B168" s="4" t="s">
        <v>185</v>
      </c>
      <c r="C168" s="5">
        <v>0</v>
      </c>
      <c r="D168" s="5">
        <f t="shared" si="7"/>
        <v>0</v>
      </c>
      <c r="E168" s="39">
        <f t="shared" si="8"/>
        <v>0</v>
      </c>
    </row>
    <row r="169" spans="1:5" ht="18.3">
      <c r="A169" s="4">
        <v>5501</v>
      </c>
      <c r="B169" s="4" t="s">
        <v>186</v>
      </c>
      <c r="C169" s="5">
        <v>0</v>
      </c>
      <c r="D169" s="5">
        <f t="shared" si="7"/>
        <v>0</v>
      </c>
      <c r="E169" s="39">
        <f t="shared" si="8"/>
        <v>0</v>
      </c>
    </row>
    <row r="170" spans="1:5" ht="18.3">
      <c r="A170" s="4">
        <v>5601</v>
      </c>
      <c r="B170" s="4" t="s">
        <v>187</v>
      </c>
      <c r="C170" s="5">
        <v>0</v>
      </c>
      <c r="D170" s="5">
        <f t="shared" si="7"/>
        <v>0</v>
      </c>
      <c r="E170" s="39">
        <f t="shared" si="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4860-C0A3-4244-A85A-A8953A921173}">
  <dimension ref="A1:F23"/>
  <sheetViews>
    <sheetView workbookViewId="0">
      <selection activeCell="D11" sqref="D11"/>
    </sheetView>
  </sheetViews>
  <sheetFormatPr defaultRowHeight="14.4"/>
  <cols>
    <col min="1" max="1" width="49.7890625" bestFit="1" customWidth="1"/>
    <col min="2" max="2" width="21.26171875" bestFit="1" customWidth="1"/>
    <col min="3" max="3" width="20.89453125" bestFit="1" customWidth="1"/>
    <col min="4" max="4" width="31.578125" bestFit="1" customWidth="1"/>
    <col min="5" max="5" width="13.7890625" bestFit="1" customWidth="1"/>
    <col min="6" max="6" width="20.9453125" bestFit="1" customWidth="1"/>
  </cols>
  <sheetData>
    <row r="1" spans="1:6">
      <c r="A1" t="s">
        <v>321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</row>
    <row r="2" spans="1:6">
      <c r="A2" t="s">
        <v>322</v>
      </c>
      <c r="B2" s="41"/>
      <c r="C2" s="41"/>
      <c r="D2" t="s">
        <v>323</v>
      </c>
      <c r="F2" s="41"/>
    </row>
    <row r="3" spans="1:6">
      <c r="A3" t="s">
        <v>249</v>
      </c>
      <c r="B3" s="41" t="s">
        <v>324</v>
      </c>
      <c r="C3" s="41" t="s">
        <v>325</v>
      </c>
      <c r="D3" t="s">
        <v>326</v>
      </c>
      <c r="E3" t="s">
        <v>327</v>
      </c>
      <c r="F3" s="41" t="s">
        <v>328</v>
      </c>
    </row>
    <row r="4" spans="1:6">
      <c r="A4">
        <v>1</v>
      </c>
      <c r="B4" s="41" t="s">
        <v>329</v>
      </c>
      <c r="C4" s="41" t="s">
        <v>330</v>
      </c>
      <c r="D4">
        <v>0.85</v>
      </c>
      <c r="E4">
        <v>8160000</v>
      </c>
      <c r="F4" s="41" t="s">
        <v>223</v>
      </c>
    </row>
    <row r="5" spans="1:6">
      <c r="A5">
        <v>2</v>
      </c>
      <c r="B5" s="41"/>
      <c r="C5" s="41" t="s">
        <v>224</v>
      </c>
      <c r="F5" s="41" t="s">
        <v>331</v>
      </c>
    </row>
    <row r="6" spans="1:6">
      <c r="A6">
        <v>3</v>
      </c>
      <c r="B6" s="41"/>
      <c r="C6" s="41" t="s">
        <v>332</v>
      </c>
      <c r="F6" s="41" t="s">
        <v>331</v>
      </c>
    </row>
    <row r="7" spans="1:6">
      <c r="A7">
        <v>4</v>
      </c>
      <c r="B7" s="41"/>
      <c r="C7" s="41" t="s">
        <v>333</v>
      </c>
      <c r="F7" s="41" t="s">
        <v>334</v>
      </c>
    </row>
    <row r="8" spans="1:6">
      <c r="A8">
        <v>5</v>
      </c>
      <c r="B8" s="41" t="s">
        <v>335</v>
      </c>
      <c r="C8" s="41" t="s">
        <v>336</v>
      </c>
      <c r="F8" s="41" t="s">
        <v>334</v>
      </c>
    </row>
    <row r="9" spans="1:6">
      <c r="A9">
        <v>6</v>
      </c>
      <c r="B9" s="41" t="s">
        <v>337</v>
      </c>
      <c r="C9" s="41" t="s">
        <v>338</v>
      </c>
      <c r="F9" s="41" t="s">
        <v>334</v>
      </c>
    </row>
    <row r="10" spans="1:6">
      <c r="A10">
        <v>7</v>
      </c>
      <c r="B10" s="41"/>
      <c r="C10" s="41" t="s">
        <v>339</v>
      </c>
      <c r="F10" s="41" t="s">
        <v>331</v>
      </c>
    </row>
    <row r="11" spans="1:6">
      <c r="A11">
        <v>8</v>
      </c>
      <c r="B11" s="41" t="s">
        <v>340</v>
      </c>
      <c r="C11" s="41" t="s">
        <v>222</v>
      </c>
      <c r="D11">
        <v>2.5000000000000001E-2</v>
      </c>
      <c r="E11">
        <v>240000</v>
      </c>
      <c r="F11" s="41" t="s">
        <v>341</v>
      </c>
    </row>
    <row r="12" spans="1:6">
      <c r="A12">
        <v>9</v>
      </c>
      <c r="B12" s="41"/>
      <c r="C12" s="41" t="s">
        <v>342</v>
      </c>
      <c r="F12" s="41" t="s">
        <v>341</v>
      </c>
    </row>
    <row r="13" spans="1:6">
      <c r="A13">
        <v>10</v>
      </c>
      <c r="B13" s="41" t="s">
        <v>343</v>
      </c>
      <c r="C13" s="41" t="s">
        <v>344</v>
      </c>
      <c r="D13">
        <v>0.125</v>
      </c>
      <c r="E13">
        <v>1200000</v>
      </c>
      <c r="F13" s="41" t="s">
        <v>331</v>
      </c>
    </row>
    <row r="14" spans="1:6">
      <c r="A14">
        <v>11</v>
      </c>
      <c r="B14" s="41"/>
      <c r="C14" s="41" t="s">
        <v>345</v>
      </c>
      <c r="F14" s="41" t="s">
        <v>346</v>
      </c>
    </row>
    <row r="15" spans="1:6">
      <c r="A15">
        <v>12</v>
      </c>
      <c r="B15" s="41"/>
      <c r="C15" s="41" t="s">
        <v>347</v>
      </c>
      <c r="F15" s="41" t="s">
        <v>331</v>
      </c>
    </row>
    <row r="16" spans="1:6">
      <c r="A16">
        <v>13</v>
      </c>
      <c r="B16" s="41"/>
      <c r="C16" s="41" t="s">
        <v>348</v>
      </c>
      <c r="F16" s="41" t="s">
        <v>331</v>
      </c>
    </row>
    <row r="17" spans="1:6">
      <c r="A17">
        <v>14</v>
      </c>
      <c r="B17" s="41"/>
      <c r="C17" s="41" t="s">
        <v>349</v>
      </c>
      <c r="F17" s="41" t="s">
        <v>350</v>
      </c>
    </row>
    <row r="18" spans="1:6">
      <c r="A18" t="s">
        <v>189</v>
      </c>
      <c r="B18" s="41"/>
      <c r="C18" s="41"/>
      <c r="D18">
        <v>1</v>
      </c>
      <c r="E18">
        <v>9600000</v>
      </c>
      <c r="F18" s="41"/>
    </row>
    <row r="19" spans="1:6">
      <c r="B19" s="41"/>
      <c r="C19" s="41"/>
      <c r="F19" s="41"/>
    </row>
    <row r="20" spans="1:6">
      <c r="A20" t="s">
        <v>351</v>
      </c>
      <c r="B20" s="41"/>
      <c r="C20" s="41"/>
      <c r="F20" s="41"/>
    </row>
    <row r="21" spans="1:6">
      <c r="A21" t="s">
        <v>352</v>
      </c>
      <c r="B21" s="41"/>
      <c r="C21" s="41"/>
      <c r="F21" s="41"/>
    </row>
    <row r="22" spans="1:6">
      <c r="A22" t="s">
        <v>353</v>
      </c>
      <c r="B22" s="41"/>
      <c r="C22" s="41"/>
      <c r="F22" s="41"/>
    </row>
    <row r="23" spans="1:6">
      <c r="A23" t="s">
        <v>354</v>
      </c>
      <c r="B23" s="41"/>
      <c r="C23" s="41"/>
      <c r="F23" s="4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D980B-39D0-4015-B820-82C46BBE3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بودجه</vt:lpstr>
      <vt:lpstr>دیتا </vt:lpstr>
      <vt:lpstr>کتگوری </vt:lpstr>
      <vt:lpstr>کانالها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alborz ashrafi</dc:creator>
  <cp:lastModifiedBy>alborz ashrafi</cp:lastModifiedBy>
  <dcterms:created xsi:type="dcterms:W3CDTF">2026-05-27T08:25:58Z</dcterms:created>
  <dcterms:modified xsi:type="dcterms:W3CDTF">2026-05-29T00:04:05Z</dcterms:modified>
</cp:coreProperties>
</file>